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8350" windowHeight="6920" firstSheet="3" activeTab="8"/>
  </bookViews>
  <sheets>
    <sheet name="Student_Data" sheetId="1" r:id="rId1"/>
    <sheet name="Aggregates" sheetId="2" r:id="rId2"/>
    <sheet name="VLOOKUP" sheetId="3" r:id="rId3"/>
    <sheet name="XLOOKUP" sheetId="4" r:id="rId4"/>
    <sheet name="INDEX_MATCH" sheetId="5" r:id="rId5"/>
    <sheet name="TEXT" sheetId="6" r:id="rId6"/>
    <sheet name="INDIRECT_OFFSET" sheetId="7" r:id="rId7"/>
    <sheet name="DATE_TIME" sheetId="8" r:id="rId8"/>
    <sheet name="FILTER" sheetId="9" r:id="rId9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<sst xmlns="http://schemas.openxmlformats.org/spreadsheetml/2006/main" count="43" uniqueCount="38">
  <si>
    <t>ID</t>
  </si>
  <si>
    <t>Name</t>
  </si>
  <si>
    <t>Math</t>
  </si>
  <si>
    <t>Science</t>
  </si>
  <si>
    <t>Total</t>
  </si>
  <si>
    <t>Grade</t>
  </si>
  <si>
    <t>Above80</t>
  </si>
  <si>
    <t>Parth Patel</t>
  </si>
  <si>
    <t>Riya Shah</t>
  </si>
  <si>
    <t>Amit Kumar</t>
  </si>
  <si>
    <t>Neha Singh</t>
  </si>
  <si>
    <t>Rahul Mehta</t>
  </si>
  <si>
    <t>Priya Desai</t>
  </si>
  <si>
    <t>Count Math &gt;50</t>
  </si>
  <si>
    <t>Average Math &gt;60</t>
  </si>
  <si>
    <t>Product ID</t>
  </si>
  <si>
    <t>Price</t>
  </si>
  <si>
    <t>Find Price</t>
  </si>
  <si>
    <t>P1</t>
  </si>
  <si>
    <t>P2</t>
  </si>
  <si>
    <t>P3</t>
  </si>
  <si>
    <t>Emp ID</t>
  </si>
  <si>
    <t>Salary</t>
  </si>
  <si>
    <t>Find Salary</t>
  </si>
  <si>
    <t>E1</t>
  </si>
  <si>
    <t>E2</t>
  </si>
  <si>
    <t>E3</t>
  </si>
  <si>
    <t>Score</t>
  </si>
  <si>
    <t>Find Score</t>
  </si>
  <si>
    <t>Parth</t>
  </si>
  <si>
    <t>Riya</t>
  </si>
  <si>
    <t>Amit</t>
  </si>
  <si>
    <t>Full Name</t>
  </si>
  <si>
    <t>First Name</t>
  </si>
  <si>
    <t>Upper</t>
  </si>
  <si>
    <t>DOB</t>
  </si>
  <si>
    <t>Days</t>
  </si>
  <si>
    <t>Students &gt;80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</si>
</sst>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yyyy\-mm\-dd"/>
  </numFmts>
  <fonts count="22">
    <font>
      <sz val="11"/>
      <color theme="1"/>
      <name val="Calibri"/>
      <charset val="134"/>
      <scheme val="minor"/>
    </font>
    <font>
      <b/>
      <sz val="1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4">
    <xf numFmtId="0" fontId="0" fillId="0" borderId="0" xfId="0"/>
    <xf numFmtId="178" fontId="0" fillId="0" borderId="0" xfId="0" applyNumberFormat="1"/>
    <xf numFmtId="0" fontId="0" fillId="0" borderId="0" xfId="0" applyNumberFormat="1"/>
    <xf numFmtId="0" fontId="1" fillId="0" borderId="0" xfId="0" applyFo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2" Type="http://schemas.openxmlformats.org/officeDocument/2006/relationships/styles" Target="styles.xml"/><Relationship Id="rId11" Type="http://schemas.openxmlformats.org/officeDocument/2006/relationships/sharedStrings" Target="sharedStrings.xml"/><Relationship Id="rId10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7"/>
  <sheetViews>
    <sheetView workbookViewId="0">
      <selection activeCell="B1" sqref="B1"/>
    </sheetView>
  </sheetViews>
  <sheetFormatPr defaultColWidth="9" defaultRowHeight="14.5" outlineLevelRow="6" outlineLevelCol="6"/>
  <cols>
    <col min="2" max="2" width="11.6363636363636" customWidth="1"/>
    <col min="7" max="7" width="15.0909090909091" customWidth="1"/>
  </cols>
  <sheetData>
    <row r="1" spans="1:7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</row>
    <row r="2" spans="1:7">
      <c r="A2">
        <v>1</v>
      </c>
      <c r="B2" t="s">
        <v>7</v>
      </c>
      <c r="C2">
        <v>78</v>
      </c>
      <c r="D2">
        <v>85</v>
      </c>
      <c r="E2">
        <f t="shared" ref="E2:E7" si="0">SUM(C2:D2)</f>
        <v>163</v>
      </c>
      <c r="F2" t="str">
        <f t="shared" ref="F2:F7" si="1">IF(E2&gt;=80,"A",IF(E2&gt;=60,"B","C"))</f>
        <v>A</v>
      </c>
      <c r="G2" t="str">
        <f t="shared" ref="G2:G7" si="2">IF(AND(C2&gt;80,D2&gt;80),"Yes","No")</f>
        <v>No</v>
      </c>
    </row>
    <row r="3" spans="1:7">
      <c r="A3">
        <v>2</v>
      </c>
      <c r="B3" t="s">
        <v>8</v>
      </c>
      <c r="C3">
        <v>92</v>
      </c>
      <c r="D3">
        <v>88</v>
      </c>
      <c r="E3">
        <f t="shared" si="0"/>
        <v>180</v>
      </c>
      <c r="F3" t="str">
        <f t="shared" si="1"/>
        <v>A</v>
      </c>
      <c r="G3" t="str">
        <f t="shared" si="2"/>
        <v>Yes</v>
      </c>
    </row>
    <row r="4" spans="1:7">
      <c r="A4">
        <v>3</v>
      </c>
      <c r="B4" t="s">
        <v>9</v>
      </c>
      <c r="C4">
        <v>55</v>
      </c>
      <c r="D4">
        <v>60</v>
      </c>
      <c r="E4">
        <f t="shared" si="0"/>
        <v>115</v>
      </c>
      <c r="F4" t="str">
        <f t="shared" si="1"/>
        <v>A</v>
      </c>
      <c r="G4" t="str">
        <f t="shared" si="2"/>
        <v>No</v>
      </c>
    </row>
    <row r="5" spans="1:7">
      <c r="A5">
        <v>4</v>
      </c>
      <c r="B5" t="s">
        <v>10</v>
      </c>
      <c r="C5">
        <v>66</v>
      </c>
      <c r="D5">
        <v>70</v>
      </c>
      <c r="E5">
        <f t="shared" si="0"/>
        <v>136</v>
      </c>
      <c r="F5" t="str">
        <f t="shared" si="1"/>
        <v>A</v>
      </c>
      <c r="G5" t="str">
        <f t="shared" si="2"/>
        <v>No</v>
      </c>
    </row>
    <row r="6" spans="1:7">
      <c r="A6">
        <v>5</v>
      </c>
      <c r="B6" t="s">
        <v>11</v>
      </c>
      <c r="C6">
        <v>45</v>
      </c>
      <c r="D6">
        <v>50</v>
      </c>
      <c r="E6">
        <f t="shared" si="0"/>
        <v>95</v>
      </c>
      <c r="F6" t="str">
        <f t="shared" si="1"/>
        <v>A</v>
      </c>
      <c r="G6" t="str">
        <f t="shared" si="2"/>
        <v>No</v>
      </c>
    </row>
    <row r="7" spans="1:7">
      <c r="A7">
        <v>6</v>
      </c>
      <c r="B7" t="s">
        <v>12</v>
      </c>
      <c r="C7">
        <v>81</v>
      </c>
      <c r="D7">
        <v>79</v>
      </c>
      <c r="E7">
        <f t="shared" si="0"/>
        <v>160</v>
      </c>
      <c r="F7" t="str">
        <f t="shared" si="1"/>
        <v>A</v>
      </c>
      <c r="G7" t="str">
        <f t="shared" si="2"/>
        <v>No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2"/>
  <sheetViews>
    <sheetView workbookViewId="0">
      <selection activeCell="A1" sqref="A1"/>
    </sheetView>
  </sheetViews>
  <sheetFormatPr defaultColWidth="9" defaultRowHeight="14.5" outlineLevelRow="1" outlineLevelCol="1"/>
  <cols>
    <col min="1" max="1" width="16.6363636363636" customWidth="1"/>
  </cols>
  <sheetData>
    <row r="1" spans="1:2">
      <c r="A1" t="s">
        <v>13</v>
      </c>
      <c r="B1">
        <f>COUNTIFS(Student_Data!C2:C7,"&gt;50")</f>
        <v>5</v>
      </c>
    </row>
    <row r="2" spans="1:2">
      <c r="A2" t="s">
        <v>14</v>
      </c>
      <c r="B2">
        <f>AVERAGEIFS(Student_Data!C2:C7,Student_Data!C2:C7,"&gt;60")</f>
        <v>79.25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4"/>
  <sheetViews>
    <sheetView workbookViewId="0">
      <selection activeCell="A1" sqref="A1"/>
    </sheetView>
  </sheetViews>
  <sheetFormatPr defaultColWidth="9" defaultRowHeight="14.5" outlineLevelRow="3" outlineLevelCol="4"/>
  <cols>
    <col min="1" max="1" width="9.36363636363636" customWidth="1"/>
  </cols>
  <sheetData>
    <row r="1" spans="1:4">
      <c r="A1" t="s">
        <v>15</v>
      </c>
      <c r="B1" t="s">
        <v>16</v>
      </c>
      <c r="D1" t="s">
        <v>17</v>
      </c>
    </row>
    <row r="2" spans="1:5">
      <c r="A2" t="s">
        <v>18</v>
      </c>
      <c r="B2">
        <v>10</v>
      </c>
      <c r="D2" t="s">
        <v>19</v>
      </c>
      <c r="E2">
        <f>VLOOKUP(D2,A2:B4,2,FALSE)</f>
        <v>50</v>
      </c>
    </row>
    <row r="3" spans="1:2">
      <c r="A3" t="s">
        <v>19</v>
      </c>
      <c r="B3">
        <v>50</v>
      </c>
    </row>
    <row r="4" spans="1:2">
      <c r="A4" t="s">
        <v>20</v>
      </c>
      <c r="B4">
        <v>500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4"/>
  <sheetViews>
    <sheetView workbookViewId="0">
      <selection activeCell="A1" sqref="A1"/>
    </sheetView>
  </sheetViews>
  <sheetFormatPr defaultColWidth="9" defaultRowHeight="14.5" outlineLevelRow="3" outlineLevelCol="4"/>
  <cols>
    <col min="4" max="4" width="10" customWidth="1"/>
  </cols>
  <sheetData>
    <row r="1" spans="1:4">
      <c r="A1" t="s">
        <v>21</v>
      </c>
      <c r="B1" t="s">
        <v>22</v>
      </c>
      <c r="D1" t="s">
        <v>23</v>
      </c>
    </row>
    <row r="2" spans="1:5">
      <c r="A2" t="s">
        <v>24</v>
      </c>
      <c r="B2">
        <v>30000</v>
      </c>
      <c r="D2" t="s">
        <v>25</v>
      </c>
      <c r="E2">
        <f>_xlfn.XLOOKUP(D2,A2:A4,B2:B4)</f>
        <v>40000</v>
      </c>
    </row>
    <row r="3" spans="1:2">
      <c r="A3" t="s">
        <v>25</v>
      </c>
      <c r="B3">
        <v>40000</v>
      </c>
    </row>
    <row r="4" spans="1:2">
      <c r="A4" t="s">
        <v>26</v>
      </c>
      <c r="B4">
        <v>35000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4"/>
  <sheetViews>
    <sheetView workbookViewId="0">
      <selection activeCell="E2" sqref="E2"/>
    </sheetView>
  </sheetViews>
  <sheetFormatPr defaultColWidth="9" defaultRowHeight="14.5" outlineLevelRow="3" outlineLevelCol="4"/>
  <sheetData>
    <row r="1" spans="1:4">
      <c r="A1" t="s">
        <v>1</v>
      </c>
      <c r="B1" t="s">
        <v>27</v>
      </c>
      <c r="D1" t="s">
        <v>28</v>
      </c>
    </row>
    <row r="2" spans="1:5">
      <c r="A2" t="s">
        <v>29</v>
      </c>
      <c r="B2">
        <v>80</v>
      </c>
      <c r="D2" t="s">
        <v>30</v>
      </c>
      <c r="E2">
        <f>INDEX(B2:B4,MATCH(D2,A2:A4,0))</f>
        <v>90</v>
      </c>
    </row>
    <row r="3" spans="1:2">
      <c r="A3" t="s">
        <v>30</v>
      </c>
      <c r="B3">
        <v>90</v>
      </c>
    </row>
    <row r="4" spans="1:2">
      <c r="A4" t="s">
        <v>31</v>
      </c>
      <c r="B4">
        <v>60</v>
      </c>
    </row>
  </sheetData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2"/>
  <sheetViews>
    <sheetView workbookViewId="0">
      <selection activeCell="A1" sqref="A1"/>
    </sheetView>
  </sheetViews>
  <sheetFormatPr defaultColWidth="9" defaultRowHeight="14.5" outlineLevelRow="1" outlineLevelCol="2"/>
  <cols>
    <col min="1" max="2" width="10.3636363636364" customWidth="1"/>
    <col min="3" max="3" width="12.7272727272727" customWidth="1"/>
  </cols>
  <sheetData>
    <row r="1" spans="1:3">
      <c r="A1" t="s">
        <v>32</v>
      </c>
      <c r="B1" t="s">
        <v>33</v>
      </c>
      <c r="C1" t="s">
        <v>34</v>
      </c>
    </row>
    <row r="2" spans="1:3">
      <c r="A2" t="s">
        <v>7</v>
      </c>
      <c r="B2" t="str">
        <f>LEFT(A2,FIND(" ",A2)-1)</f>
        <v>Parth</v>
      </c>
      <c r="C2" t="str">
        <f>UPPER(A2)</f>
        <v>PARTH PATEL</v>
      </c>
    </row>
  </sheetData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"/>
  <sheetViews>
    <sheetView workbookViewId="0">
      <selection activeCell="A1" sqref="A1"/>
    </sheetView>
  </sheetViews>
  <sheetFormatPr defaultColWidth="9" defaultRowHeight="14.5" outlineLevelCol="2"/>
  <sheetData>
    <row r="1" spans="1:3">
      <c r="A1" s="2">
        <v>10</v>
      </c>
      <c r="B1">
        <f ca="1">INDIRECT("A1")</f>
        <v>10</v>
      </c>
      <c r="C1">
        <f ca="1">OFFSET(A1,0,0)</f>
        <v>10</v>
      </c>
    </row>
  </sheetData>
  <pageMargins left="0.75" right="0.75" top="1" bottom="1" header="0.5" footer="0.5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2"/>
  <sheetViews>
    <sheetView workbookViewId="0">
      <selection activeCell="A3" sqref="A3"/>
    </sheetView>
  </sheetViews>
  <sheetFormatPr defaultColWidth="9" defaultRowHeight="14.5" outlineLevelRow="1" outlineLevelCol="1"/>
  <cols>
    <col min="1" max="1" width="11"/>
  </cols>
  <sheetData>
    <row r="1" spans="1:2">
      <c r="A1" t="s">
        <v>35</v>
      </c>
      <c r="B1" t="s">
        <v>36</v>
      </c>
    </row>
    <row r="2" spans="1:2">
      <c r="A2" s="1">
        <v>39184</v>
      </c>
      <c r="B2">
        <f ca="1">TODAY()-A2</f>
        <v>6960</v>
      </c>
    </row>
  </sheetData>
  <pageMargins left="0.75" right="0.75" top="1" bottom="1" header="0.5" footer="0.5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2"/>
  <sheetViews>
    <sheetView tabSelected="1" workbookViewId="0">
      <selection activeCell="B4" sqref="B4"/>
    </sheetView>
  </sheetViews>
  <sheetFormatPr defaultColWidth="9" defaultRowHeight="14.5" outlineLevelRow="1"/>
  <cols>
    <col min="1" max="1" width="12" customWidth="1"/>
  </cols>
  <sheetData>
    <row r="1" spans="1:1">
      <c r="A1" t="s">
        <v>37</v>
      </c>
    </row>
    <row r="2" spans="1:1">
      <c r="A2">
        <f>_xlfn._xlws.FILTER(Student_Data!A2:F7,Student_Data!E2:E7&gt;80)</f>
        <v>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9</vt:i4>
      </vt:variant>
    </vt:vector>
  </HeadingPairs>
  <TitlesOfParts>
    <vt:vector size="9" baseType="lpstr">
      <vt:lpstr>Student_Data</vt:lpstr>
      <vt:lpstr>Aggregates</vt:lpstr>
      <vt:lpstr>VLOOKUP</vt:lpstr>
      <vt:lpstr>XLOOKUP</vt:lpstr>
      <vt:lpstr>INDEX_MATCH</vt:lpstr>
      <vt:lpstr>TEXT</vt:lpstr>
      <vt:lpstr>INDIRECT_OFFSET</vt:lpstr>
      <vt:lpstr>DATE_TIME</vt:lpstr>
      <vt:lpstr>FILTER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Parth Waghmashi</cp:lastModifiedBy>
  <dcterms:created xsi:type="dcterms:W3CDTF">2026-05-02T10:23:00Z</dcterms:created>
  <dcterms:modified xsi:type="dcterms:W3CDTF">2026-05-02T10:42:22Z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45887D15A5554A4AA88A6CB11EF35A60_13</vt:lpwstr>
  </property>
  <property fmtid="{D5CDD505-2E9C-101B-9397-08002B2CF9AE}" pid="3" name="KSOProductBuildVer">
    <vt:lpwstr>2057-12.2.0.23197</vt:lpwstr>
  </property>
</Properties>
</file>