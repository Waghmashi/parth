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tudents Grade" sheetId="2" r:id="rId1"/>
    <sheet name="Sales Data" sheetId="3" r:id="rId2"/>
    <sheet name="Employee 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<sst xmlns="http://schemas.openxmlformats.org/spreadsheetml/2006/main" count="211" uniqueCount="163">
  <si>
    <t>Student ID</t>
  </si>
  <si>
    <t>Name</t>
  </si>
  <si>
    <t>Math</t>
  </si>
  <si>
    <t>Science</t>
  </si>
  <si>
    <t>English</t>
  </si>
  <si>
    <t>Enrollment Date</t>
  </si>
  <si>
    <t>Total</t>
  </si>
  <si>
    <t>Average</t>
  </si>
  <si>
    <t>Grade</t>
  </si>
  <si>
    <t>Status</t>
  </si>
  <si>
    <t>First Name</t>
  </si>
  <si>
    <t>Upper Name</t>
  </si>
  <si>
    <t>Student 1</t>
  </si>
  <si>
    <t>2018-01-01</t>
  </si>
  <si>
    <t>Student 2</t>
  </si>
  <si>
    <t>2018-06-30</t>
  </si>
  <si>
    <t>Student 3</t>
  </si>
  <si>
    <t>2018-12-27</t>
  </si>
  <si>
    <t>Student 4</t>
  </si>
  <si>
    <t>2019-06-25</t>
  </si>
  <si>
    <t>Student 5</t>
  </si>
  <si>
    <t>2019-12-22</t>
  </si>
  <si>
    <t>Student 6</t>
  </si>
  <si>
    <t>2020-06-19</t>
  </si>
  <si>
    <t>Student 7</t>
  </si>
  <si>
    <t>2020-12-16</t>
  </si>
  <si>
    <t>Student 8</t>
  </si>
  <si>
    <t>2021-06-14</t>
  </si>
  <si>
    <t>Student 9</t>
  </si>
  <si>
    <t>2021-12-11</t>
  </si>
  <si>
    <t>Student 10</t>
  </si>
  <si>
    <t>2022-06-09</t>
  </si>
  <si>
    <t>Student 11</t>
  </si>
  <si>
    <t>2022-12-06</t>
  </si>
  <si>
    <t>Student 12</t>
  </si>
  <si>
    <t>2023-06-04</t>
  </si>
  <si>
    <t>Student 13</t>
  </si>
  <si>
    <t>2023-12-01</t>
  </si>
  <si>
    <t>Student 14</t>
  </si>
  <si>
    <t>2024-05-29</t>
  </si>
  <si>
    <t>Student 15</t>
  </si>
  <si>
    <t>2024-11-25</t>
  </si>
  <si>
    <t>Student 16</t>
  </si>
  <si>
    <t>2025-05-24</t>
  </si>
  <si>
    <t>Student 17</t>
  </si>
  <si>
    <t>2025-11-20</t>
  </si>
  <si>
    <t>Student 18</t>
  </si>
  <si>
    <t>2026-05-19</t>
  </si>
  <si>
    <t>Student 19</t>
  </si>
  <si>
    <t>2026-11-15</t>
  </si>
  <si>
    <t>Student 20</t>
  </si>
  <si>
    <t>2027-05-14</t>
  </si>
  <si>
    <t>Sales ID</t>
  </si>
  <si>
    <t>Product</t>
  </si>
  <si>
    <t>Region</t>
  </si>
  <si>
    <t>Salesperson</t>
  </si>
  <si>
    <t>Amount</t>
  </si>
  <si>
    <t>Date</t>
  </si>
  <si>
    <t>Rounded</t>
  </si>
  <si>
    <t>Ceiling</t>
  </si>
  <si>
    <t>Floor</t>
  </si>
  <si>
    <t>Lookup Amount</t>
  </si>
  <si>
    <t>XMATCH Position</t>
  </si>
  <si>
    <t>Keyboard</t>
  </si>
  <si>
    <t>South</t>
  </si>
  <si>
    <t>Person 1</t>
  </si>
  <si>
    <t>2023-01-01</t>
  </si>
  <si>
    <t>Printer</t>
  </si>
  <si>
    <t>West</t>
  </si>
  <si>
    <t>Person 2</t>
  </si>
  <si>
    <t>2023-01-16</t>
  </si>
  <si>
    <t>Mouse</t>
  </si>
  <si>
    <t>Person 3</t>
  </si>
  <si>
    <t>2023-01-31</t>
  </si>
  <si>
    <t>East</t>
  </si>
  <si>
    <t>Person 4</t>
  </si>
  <si>
    <t>2023-02-15</t>
  </si>
  <si>
    <t>North</t>
  </si>
  <si>
    <t>Person 5</t>
  </si>
  <si>
    <t>2023-03-02</t>
  </si>
  <si>
    <t>Person 6</t>
  </si>
  <si>
    <t>2023-03-17</t>
  </si>
  <si>
    <t>Person 7</t>
  </si>
  <si>
    <t>2023-04-01</t>
  </si>
  <si>
    <t>Person 8</t>
  </si>
  <si>
    <t>2023-04-16</t>
  </si>
  <si>
    <t>Person 9</t>
  </si>
  <si>
    <t>2023-05-01</t>
  </si>
  <si>
    <t>Person 10</t>
  </si>
  <si>
    <t>2023-05-16</t>
  </si>
  <si>
    <t>Person 11</t>
  </si>
  <si>
    <t>2023-05-31</t>
  </si>
  <si>
    <t>Monitor</t>
  </si>
  <si>
    <t>Person 12</t>
  </si>
  <si>
    <t>2023-06-15</t>
  </si>
  <si>
    <t>Laptop</t>
  </si>
  <si>
    <t>Person 13</t>
  </si>
  <si>
    <t>2023-06-30</t>
  </si>
  <si>
    <t>Person 14</t>
  </si>
  <si>
    <t>2023-07-15</t>
  </si>
  <si>
    <t>Person 15</t>
  </si>
  <si>
    <t>2023-07-30</t>
  </si>
  <si>
    <t>Person 16</t>
  </si>
  <si>
    <t>2023-08-14</t>
  </si>
  <si>
    <t>Person 17</t>
  </si>
  <si>
    <t>2023-08-29</t>
  </si>
  <si>
    <t>Person 18</t>
  </si>
  <si>
    <t>2023-09-13</t>
  </si>
  <si>
    <t>Person 19</t>
  </si>
  <si>
    <t>2023-09-28</t>
  </si>
  <si>
    <t>Person 20</t>
  </si>
  <si>
    <t>2023-10-13</t>
  </si>
  <si>
    <t>Employee ID</t>
  </si>
  <si>
    <t>Department</t>
  </si>
  <si>
    <t>Salary</t>
  </si>
  <si>
    <t>Joining Date</t>
  </si>
  <si>
    <t>Years</t>
  </si>
  <si>
    <t>XLOOKUP Salary</t>
  </si>
  <si>
    <t>INDEX MATCH</t>
  </si>
  <si>
    <t>Employee 1</t>
  </si>
  <si>
    <t>Finance</t>
  </si>
  <si>
    <t>2015-01-01</t>
  </si>
  <si>
    <t>Employee 2</t>
  </si>
  <si>
    <t>2015-09-08</t>
  </si>
  <si>
    <t>Employee 3</t>
  </si>
  <si>
    <t>HR</t>
  </si>
  <si>
    <t>2016-05-15</t>
  </si>
  <si>
    <t>Employee 4</t>
  </si>
  <si>
    <t>2017-01-20</t>
  </si>
  <si>
    <t>Employee 5</t>
  </si>
  <si>
    <t>IT</t>
  </si>
  <si>
    <t>2017-09-27</t>
  </si>
  <si>
    <t>Employee 6</t>
  </si>
  <si>
    <t>2018-06-04</t>
  </si>
  <si>
    <t>Employee 7</t>
  </si>
  <si>
    <t>Marketing</t>
  </si>
  <si>
    <t>2019-02-09</t>
  </si>
  <si>
    <t>Employee 8</t>
  </si>
  <si>
    <t>2019-10-17</t>
  </si>
  <si>
    <t>Employee 9</t>
  </si>
  <si>
    <t>2020-06-23</t>
  </si>
  <si>
    <t>Employee 10</t>
  </si>
  <si>
    <t>2021-02-28</t>
  </si>
  <si>
    <t>Employee 11</t>
  </si>
  <si>
    <t>2021-11-05</t>
  </si>
  <si>
    <t>Employee 12</t>
  </si>
  <si>
    <t>2022-07-13</t>
  </si>
  <si>
    <t>Employee 13</t>
  </si>
  <si>
    <t>2023-03-20</t>
  </si>
  <si>
    <t>Employee 14</t>
  </si>
  <si>
    <t>2023-11-25</t>
  </si>
  <si>
    <t>Employee 15</t>
  </si>
  <si>
    <t>2024-08-01</t>
  </si>
  <si>
    <t>Employee 16</t>
  </si>
  <si>
    <t>2025-04-08</t>
  </si>
  <si>
    <t>Employee 17</t>
  </si>
  <si>
    <t>2025-12-14</t>
  </si>
  <si>
    <t>Employee 18</t>
  </si>
  <si>
    <t>2026-08-21</t>
  </si>
  <si>
    <t>Employee 19</t>
  </si>
  <si>
    <t>2027-04-28</t>
  </si>
  <si>
    <t>Employee 20</t>
  </si>
  <si>
    <t>2028-01-03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</si>
</sst>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H1" workbookViewId="0">
      <selection activeCell="O2" sqref="O2"/>
    </sheetView>
  </sheetViews>
  <sheetFormatPr defaultColWidth="9" defaultRowHeight="14.5"/>
  <cols>
    <col min="1" max="15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1001</v>
      </c>
      <c r="B2" s="2" t="s">
        <v>12</v>
      </c>
      <c r="C2" s="2">
        <v>61</v>
      </c>
      <c r="D2" s="2">
        <v>48</v>
      </c>
      <c r="E2" s="2">
        <v>76</v>
      </c>
      <c r="F2" s="3" t="s">
        <v>13</v>
      </c>
      <c r="G2" s="2">
        <f t="shared" ref="G2:G21" si="0">SUM(C2:E2)</f>
        <v>185</v>
      </c>
      <c r="H2" s="2">
        <f t="shared" ref="H2:H21" si="1">AVERAGE(C2:E2)</f>
        <v>61.6666666666667</v>
      </c>
      <c r="I2" s="2" t="str">
        <f t="shared" ref="I2:I21" si="2">IF(H2&gt;=90,"A",IF(H2&gt;=75,"B",IF(H2&gt;=60,"C","Fail")))</f>
        <v>C</v>
      </c>
      <c r="J2" s="2" t="str">
        <f t="shared" ref="J2:J21" si="3">IF(AND(C2&gt;80,D2&gt;80),"Excellent",IF(OR(C2&lt;50,D2&lt;50),"Need Improvement","Good"))</f>
        <v>Need Improvement</v>
      </c>
      <c r="K2" s="2" t="str">
        <f t="shared" ref="K2:K21" si="4">LEFT(B2,FIND(" ",B2)-1)</f>
        <v>Student</v>
      </c>
      <c r="L2" s="2" t="str">
        <f t="shared" ref="L2:L21" si="5">UPPER(B2)</f>
        <v>STUDENT 1</v>
      </c>
    </row>
    <row r="3" spans="1:12">
      <c r="A3" s="2">
        <v>1002</v>
      </c>
      <c r="B3" s="2" t="s">
        <v>14</v>
      </c>
      <c r="C3" s="2">
        <v>78</v>
      </c>
      <c r="D3" s="2">
        <v>76</v>
      </c>
      <c r="E3" s="2">
        <v>70</v>
      </c>
      <c r="F3" s="3" t="s">
        <v>15</v>
      </c>
      <c r="G3" s="2">
        <f t="shared" si="0"/>
        <v>224</v>
      </c>
      <c r="H3" s="2">
        <f t="shared" si="1"/>
        <v>74.6666666666667</v>
      </c>
      <c r="I3" s="2" t="str">
        <f t="shared" si="2"/>
        <v>C</v>
      </c>
      <c r="J3" s="2" t="str">
        <f t="shared" si="3"/>
        <v>Good</v>
      </c>
      <c r="K3" s="2" t="str">
        <f t="shared" si="4"/>
        <v>Student</v>
      </c>
      <c r="L3" s="2" t="str">
        <f t="shared" si="5"/>
        <v>STUDENT 2</v>
      </c>
    </row>
    <row r="4" spans="1:12">
      <c r="A4" s="2">
        <v>1003</v>
      </c>
      <c r="B4" s="2" t="s">
        <v>16</v>
      </c>
      <c r="C4" s="2">
        <v>97</v>
      </c>
      <c r="D4" s="2">
        <v>60</v>
      </c>
      <c r="E4" s="2">
        <v>51</v>
      </c>
      <c r="F4" s="3" t="s">
        <v>17</v>
      </c>
      <c r="G4" s="2">
        <f t="shared" si="0"/>
        <v>208</v>
      </c>
      <c r="H4" s="2">
        <f t="shared" si="1"/>
        <v>69.3333333333333</v>
      </c>
      <c r="I4" s="2" t="str">
        <f t="shared" si="2"/>
        <v>C</v>
      </c>
      <c r="J4" s="2" t="str">
        <f t="shared" si="3"/>
        <v>Good</v>
      </c>
      <c r="K4" s="2" t="str">
        <f t="shared" si="4"/>
        <v>Student</v>
      </c>
      <c r="L4" s="2" t="str">
        <f t="shared" si="5"/>
        <v>STUDENT 3</v>
      </c>
    </row>
    <row r="5" spans="1:12">
      <c r="A5" s="2">
        <v>1004</v>
      </c>
      <c r="B5" s="2" t="s">
        <v>18</v>
      </c>
      <c r="C5" s="2">
        <v>74</v>
      </c>
      <c r="D5" s="2">
        <v>55</v>
      </c>
      <c r="E5" s="2">
        <v>46</v>
      </c>
      <c r="F5" s="3" t="s">
        <v>19</v>
      </c>
      <c r="G5" s="2">
        <f t="shared" si="0"/>
        <v>175</v>
      </c>
      <c r="H5" s="2">
        <f t="shared" si="1"/>
        <v>58.3333333333333</v>
      </c>
      <c r="I5" s="2" t="str">
        <f t="shared" si="2"/>
        <v>Fail</v>
      </c>
      <c r="J5" s="2" t="str">
        <f t="shared" si="3"/>
        <v>Good</v>
      </c>
      <c r="K5" s="2" t="str">
        <f t="shared" si="4"/>
        <v>Student</v>
      </c>
      <c r="L5" s="2" t="str">
        <f t="shared" si="5"/>
        <v>STUDENT 4</v>
      </c>
    </row>
    <row r="6" spans="1:12">
      <c r="A6" s="2">
        <v>1005</v>
      </c>
      <c r="B6" s="2" t="s">
        <v>20</v>
      </c>
      <c r="C6" s="2">
        <v>68</v>
      </c>
      <c r="D6" s="2">
        <v>74</v>
      </c>
      <c r="E6" s="2">
        <v>84</v>
      </c>
      <c r="F6" s="3" t="s">
        <v>21</v>
      </c>
      <c r="G6" s="2">
        <f t="shared" si="0"/>
        <v>226</v>
      </c>
      <c r="H6" s="2">
        <f t="shared" si="1"/>
        <v>75.3333333333333</v>
      </c>
      <c r="I6" s="2" t="str">
        <f t="shared" si="2"/>
        <v>B</v>
      </c>
      <c r="J6" s="2" t="str">
        <f t="shared" si="3"/>
        <v>Good</v>
      </c>
      <c r="K6" s="2" t="str">
        <f t="shared" si="4"/>
        <v>Student</v>
      </c>
      <c r="L6" s="2" t="str">
        <f t="shared" si="5"/>
        <v>STUDENT 5</v>
      </c>
    </row>
    <row r="7" spans="1:12">
      <c r="A7" s="2">
        <v>1006</v>
      </c>
      <c r="B7" s="2" t="s">
        <v>22</v>
      </c>
      <c r="C7" s="2">
        <v>80</v>
      </c>
      <c r="D7" s="2">
        <v>70</v>
      </c>
      <c r="E7" s="2">
        <v>65</v>
      </c>
      <c r="F7" s="3" t="s">
        <v>23</v>
      </c>
      <c r="G7" s="2">
        <f t="shared" si="0"/>
        <v>215</v>
      </c>
      <c r="H7" s="2">
        <f t="shared" si="1"/>
        <v>71.6666666666667</v>
      </c>
      <c r="I7" s="2" t="str">
        <f t="shared" si="2"/>
        <v>C</v>
      </c>
      <c r="J7" s="2" t="str">
        <f t="shared" si="3"/>
        <v>Good</v>
      </c>
      <c r="K7" s="2" t="str">
        <f t="shared" si="4"/>
        <v>Student</v>
      </c>
      <c r="L7" s="2" t="str">
        <f t="shared" si="5"/>
        <v>STUDENT 6</v>
      </c>
    </row>
    <row r="8" spans="1:12">
      <c r="A8" s="2">
        <v>1007</v>
      </c>
      <c r="B8" s="2" t="s">
        <v>24</v>
      </c>
      <c r="C8" s="2">
        <v>75</v>
      </c>
      <c r="D8" s="2">
        <v>47</v>
      </c>
      <c r="E8" s="2">
        <v>78</v>
      </c>
      <c r="F8" s="3" t="s">
        <v>25</v>
      </c>
      <c r="G8" s="2">
        <f t="shared" si="0"/>
        <v>200</v>
      </c>
      <c r="H8" s="2">
        <f t="shared" si="1"/>
        <v>66.6666666666667</v>
      </c>
      <c r="I8" s="2" t="str">
        <f t="shared" si="2"/>
        <v>C</v>
      </c>
      <c r="J8" s="2" t="str">
        <f t="shared" si="3"/>
        <v>Need Improvement</v>
      </c>
      <c r="K8" s="2" t="str">
        <f t="shared" si="4"/>
        <v>Student</v>
      </c>
      <c r="L8" s="2" t="str">
        <f t="shared" si="5"/>
        <v>STUDENT 7</v>
      </c>
    </row>
    <row r="9" spans="1:12">
      <c r="A9" s="2">
        <v>1008</v>
      </c>
      <c r="B9" s="2" t="s">
        <v>26</v>
      </c>
      <c r="C9" s="2">
        <v>94</v>
      </c>
      <c r="D9" s="2">
        <v>67</v>
      </c>
      <c r="E9" s="2">
        <v>64</v>
      </c>
      <c r="F9" s="3" t="s">
        <v>27</v>
      </c>
      <c r="G9" s="2">
        <f t="shared" si="0"/>
        <v>225</v>
      </c>
      <c r="H9" s="2">
        <f t="shared" si="1"/>
        <v>75</v>
      </c>
      <c r="I9" s="2" t="str">
        <f t="shared" si="2"/>
        <v>B</v>
      </c>
      <c r="J9" s="2" t="str">
        <f t="shared" si="3"/>
        <v>Good</v>
      </c>
      <c r="K9" s="2" t="str">
        <f t="shared" si="4"/>
        <v>Student</v>
      </c>
      <c r="L9" s="2" t="str">
        <f t="shared" si="5"/>
        <v>STUDENT 8</v>
      </c>
    </row>
    <row r="10" spans="1:12">
      <c r="A10" s="2">
        <v>1009</v>
      </c>
      <c r="B10" s="2" t="s">
        <v>28</v>
      </c>
      <c r="C10" s="2">
        <v>41</v>
      </c>
      <c r="D10" s="2">
        <v>75</v>
      </c>
      <c r="E10" s="2">
        <v>56</v>
      </c>
      <c r="F10" s="3" t="s">
        <v>29</v>
      </c>
      <c r="G10" s="2">
        <f t="shared" si="0"/>
        <v>172</v>
      </c>
      <c r="H10" s="2">
        <f t="shared" si="1"/>
        <v>57.3333333333333</v>
      </c>
      <c r="I10" s="2" t="str">
        <f t="shared" si="2"/>
        <v>Fail</v>
      </c>
      <c r="J10" s="2" t="str">
        <f t="shared" si="3"/>
        <v>Need Improvement</v>
      </c>
      <c r="K10" s="2" t="str">
        <f t="shared" si="4"/>
        <v>Student</v>
      </c>
      <c r="L10" s="2" t="str">
        <f t="shared" si="5"/>
        <v>STUDENT 9</v>
      </c>
    </row>
    <row r="11" spans="1:12">
      <c r="A11" s="2">
        <v>1010</v>
      </c>
      <c r="B11" s="2" t="s">
        <v>30</v>
      </c>
      <c r="C11" s="2">
        <v>98</v>
      </c>
      <c r="D11" s="2">
        <v>54</v>
      </c>
      <c r="E11" s="2">
        <v>58</v>
      </c>
      <c r="F11" s="3" t="s">
        <v>31</v>
      </c>
      <c r="G11" s="2">
        <f t="shared" si="0"/>
        <v>210</v>
      </c>
      <c r="H11" s="2">
        <f t="shared" si="1"/>
        <v>70</v>
      </c>
      <c r="I11" s="2" t="str">
        <f t="shared" si="2"/>
        <v>C</v>
      </c>
      <c r="J11" s="2" t="str">
        <f t="shared" si="3"/>
        <v>Good</v>
      </c>
      <c r="K11" s="2" t="str">
        <f t="shared" si="4"/>
        <v>Student</v>
      </c>
      <c r="L11" s="2" t="str">
        <f t="shared" si="5"/>
        <v>STUDENT 10</v>
      </c>
    </row>
    <row r="12" spans="1:12">
      <c r="A12" s="2">
        <v>1011</v>
      </c>
      <c r="B12" s="2" t="s">
        <v>32</v>
      </c>
      <c r="C12" s="2">
        <v>73</v>
      </c>
      <c r="D12" s="2">
        <v>79</v>
      </c>
      <c r="E12" s="2">
        <v>53</v>
      </c>
      <c r="F12" s="3" t="s">
        <v>33</v>
      </c>
      <c r="G12" s="2">
        <f t="shared" si="0"/>
        <v>205</v>
      </c>
      <c r="H12" s="2">
        <f t="shared" si="1"/>
        <v>68.3333333333333</v>
      </c>
      <c r="I12" s="2" t="str">
        <f t="shared" si="2"/>
        <v>C</v>
      </c>
      <c r="J12" s="2" t="str">
        <f t="shared" si="3"/>
        <v>Good</v>
      </c>
      <c r="K12" s="2" t="str">
        <f t="shared" si="4"/>
        <v>Student</v>
      </c>
      <c r="L12" s="2" t="str">
        <f t="shared" si="5"/>
        <v>STUDENT 11</v>
      </c>
    </row>
    <row r="13" spans="1:12">
      <c r="A13" s="2">
        <v>1012</v>
      </c>
      <c r="B13" s="2" t="s">
        <v>34</v>
      </c>
      <c r="C13" s="2">
        <v>85</v>
      </c>
      <c r="D13" s="2">
        <v>89</v>
      </c>
      <c r="E13" s="2">
        <v>79</v>
      </c>
      <c r="F13" s="3" t="s">
        <v>35</v>
      </c>
      <c r="G13" s="2">
        <f t="shared" si="0"/>
        <v>253</v>
      </c>
      <c r="H13" s="2">
        <f t="shared" si="1"/>
        <v>84.3333333333333</v>
      </c>
      <c r="I13" s="2" t="str">
        <f t="shared" si="2"/>
        <v>B</v>
      </c>
      <c r="J13" s="2" t="str">
        <f t="shared" si="3"/>
        <v>Excellent</v>
      </c>
      <c r="K13" s="2" t="str">
        <f t="shared" si="4"/>
        <v>Student</v>
      </c>
      <c r="L13" s="2" t="str">
        <f t="shared" si="5"/>
        <v>STUDENT 12</v>
      </c>
    </row>
    <row r="14" spans="1:12">
      <c r="A14" s="2">
        <v>1013</v>
      </c>
      <c r="B14" s="2" t="s">
        <v>36</v>
      </c>
      <c r="C14" s="2">
        <v>98</v>
      </c>
      <c r="D14" s="2">
        <v>90</v>
      </c>
      <c r="E14" s="2">
        <v>97</v>
      </c>
      <c r="F14" s="3" t="s">
        <v>37</v>
      </c>
      <c r="G14" s="2">
        <f t="shared" si="0"/>
        <v>285</v>
      </c>
      <c r="H14" s="2">
        <f t="shared" si="1"/>
        <v>95</v>
      </c>
      <c r="I14" s="2" t="str">
        <f t="shared" si="2"/>
        <v>A</v>
      </c>
      <c r="J14" s="2" t="str">
        <f t="shared" si="3"/>
        <v>Excellent</v>
      </c>
      <c r="K14" s="2" t="str">
        <f t="shared" si="4"/>
        <v>Student</v>
      </c>
      <c r="L14" s="2" t="str">
        <f t="shared" si="5"/>
        <v>STUDENT 13</v>
      </c>
    </row>
    <row r="15" spans="1:12">
      <c r="A15" s="2">
        <v>1014</v>
      </c>
      <c r="B15" s="2" t="s">
        <v>38</v>
      </c>
      <c r="C15" s="2">
        <v>93</v>
      </c>
      <c r="D15" s="2">
        <v>40</v>
      </c>
      <c r="E15" s="2">
        <v>44</v>
      </c>
      <c r="F15" s="3" t="s">
        <v>39</v>
      </c>
      <c r="G15" s="2">
        <f t="shared" si="0"/>
        <v>177</v>
      </c>
      <c r="H15" s="2">
        <f t="shared" si="1"/>
        <v>59</v>
      </c>
      <c r="I15" s="2" t="str">
        <f t="shared" si="2"/>
        <v>Fail</v>
      </c>
      <c r="J15" s="2" t="str">
        <f t="shared" si="3"/>
        <v>Need Improvement</v>
      </c>
      <c r="K15" s="2" t="str">
        <f t="shared" si="4"/>
        <v>Student</v>
      </c>
      <c r="L15" s="2" t="str">
        <f t="shared" si="5"/>
        <v>STUDENT 14</v>
      </c>
    </row>
    <row r="16" spans="1:12">
      <c r="A16" s="2">
        <v>1015</v>
      </c>
      <c r="B16" s="2" t="s">
        <v>40</v>
      </c>
      <c r="C16" s="2">
        <v>70</v>
      </c>
      <c r="D16" s="2">
        <v>51</v>
      </c>
      <c r="E16" s="2">
        <v>75</v>
      </c>
      <c r="F16" s="3" t="s">
        <v>41</v>
      </c>
      <c r="G16" s="2">
        <f t="shared" si="0"/>
        <v>196</v>
      </c>
      <c r="H16" s="2">
        <f t="shared" si="1"/>
        <v>65.3333333333333</v>
      </c>
      <c r="I16" s="2" t="str">
        <f t="shared" si="2"/>
        <v>C</v>
      </c>
      <c r="J16" s="2" t="str">
        <f t="shared" si="3"/>
        <v>Good</v>
      </c>
      <c r="K16" s="2" t="str">
        <f t="shared" si="4"/>
        <v>Student</v>
      </c>
      <c r="L16" s="2" t="str">
        <f t="shared" si="5"/>
        <v>STUDENT 15</v>
      </c>
    </row>
    <row r="17" spans="1:12">
      <c r="A17" s="2">
        <v>1016</v>
      </c>
      <c r="B17" s="2" t="s">
        <v>42</v>
      </c>
      <c r="C17" s="2">
        <v>98</v>
      </c>
      <c r="D17" s="2">
        <v>77</v>
      </c>
      <c r="E17" s="2">
        <v>60</v>
      </c>
      <c r="F17" s="3" t="s">
        <v>43</v>
      </c>
      <c r="G17" s="2">
        <f t="shared" si="0"/>
        <v>235</v>
      </c>
      <c r="H17" s="2">
        <f t="shared" si="1"/>
        <v>78.3333333333333</v>
      </c>
      <c r="I17" s="2" t="str">
        <f t="shared" si="2"/>
        <v>B</v>
      </c>
      <c r="J17" s="2" t="str">
        <f t="shared" si="3"/>
        <v>Good</v>
      </c>
      <c r="K17" s="2" t="str">
        <f t="shared" si="4"/>
        <v>Student</v>
      </c>
      <c r="L17" s="2" t="str">
        <f t="shared" si="5"/>
        <v>STUDENT 16</v>
      </c>
    </row>
    <row r="18" spans="1:12">
      <c r="A18" s="2">
        <v>1017</v>
      </c>
      <c r="B18" s="2" t="s">
        <v>44</v>
      </c>
      <c r="C18" s="2">
        <v>66</v>
      </c>
      <c r="D18" s="2">
        <v>59</v>
      </c>
      <c r="E18" s="2">
        <v>40</v>
      </c>
      <c r="F18" s="3" t="s">
        <v>45</v>
      </c>
      <c r="G18" s="2">
        <f t="shared" si="0"/>
        <v>165</v>
      </c>
      <c r="H18" s="2">
        <f t="shared" si="1"/>
        <v>55</v>
      </c>
      <c r="I18" s="2" t="str">
        <f t="shared" si="2"/>
        <v>Fail</v>
      </c>
      <c r="J18" s="2" t="str">
        <f t="shared" si="3"/>
        <v>Good</v>
      </c>
      <c r="K18" s="2" t="str">
        <f t="shared" si="4"/>
        <v>Student</v>
      </c>
      <c r="L18" s="2" t="str">
        <f t="shared" si="5"/>
        <v>STUDENT 17</v>
      </c>
    </row>
    <row r="19" spans="1:12">
      <c r="A19" s="2">
        <v>1018</v>
      </c>
      <c r="B19" s="2" t="s">
        <v>46</v>
      </c>
      <c r="C19" s="2">
        <v>82</v>
      </c>
      <c r="D19" s="2">
        <v>48</v>
      </c>
      <c r="E19" s="2">
        <v>79</v>
      </c>
      <c r="F19" s="3" t="s">
        <v>47</v>
      </c>
      <c r="G19" s="2">
        <f t="shared" si="0"/>
        <v>209</v>
      </c>
      <c r="H19" s="2">
        <f t="shared" si="1"/>
        <v>69.6666666666667</v>
      </c>
      <c r="I19" s="2" t="str">
        <f t="shared" si="2"/>
        <v>C</v>
      </c>
      <c r="J19" s="2" t="str">
        <f t="shared" si="3"/>
        <v>Need Improvement</v>
      </c>
      <c r="K19" s="2" t="str">
        <f t="shared" si="4"/>
        <v>Student</v>
      </c>
      <c r="L19" s="2" t="str">
        <f t="shared" si="5"/>
        <v>STUDENT 18</v>
      </c>
    </row>
    <row r="20" spans="1:12">
      <c r="A20" s="2">
        <v>1019</v>
      </c>
      <c r="B20" s="2" t="s">
        <v>48</v>
      </c>
      <c r="C20" s="2">
        <v>90</v>
      </c>
      <c r="D20" s="2">
        <v>78</v>
      </c>
      <c r="E20" s="2">
        <v>60</v>
      </c>
      <c r="F20" s="3" t="s">
        <v>49</v>
      </c>
      <c r="G20" s="2">
        <f t="shared" si="0"/>
        <v>228</v>
      </c>
      <c r="H20" s="2">
        <f t="shared" si="1"/>
        <v>76</v>
      </c>
      <c r="I20" s="2" t="str">
        <f t="shared" si="2"/>
        <v>B</v>
      </c>
      <c r="J20" s="2" t="str">
        <f t="shared" si="3"/>
        <v>Good</v>
      </c>
      <c r="K20" s="2" t="str">
        <f t="shared" si="4"/>
        <v>Student</v>
      </c>
      <c r="L20" s="2" t="str">
        <f t="shared" si="5"/>
        <v>STUDENT 19</v>
      </c>
    </row>
    <row r="21" spans="1:12">
      <c r="A21" s="2">
        <v>1020</v>
      </c>
      <c r="B21" s="2" t="s">
        <v>50</v>
      </c>
      <c r="C21" s="2">
        <v>83</v>
      </c>
      <c r="D21" s="2">
        <v>92</v>
      </c>
      <c r="E21" s="2">
        <v>55</v>
      </c>
      <c r="F21" s="3" t="s">
        <v>51</v>
      </c>
      <c r="G21" s="2">
        <f t="shared" si="0"/>
        <v>230</v>
      </c>
      <c r="H21" s="2">
        <f t="shared" si="1"/>
        <v>76.6666666666667</v>
      </c>
      <c r="I21" s="2" t="str">
        <f t="shared" si="2"/>
        <v>B</v>
      </c>
      <c r="J21" s="2" t="str">
        <f t="shared" si="3"/>
        <v>Excellent</v>
      </c>
      <c r="K21" s="2" t="str">
        <f t="shared" si="4"/>
        <v>Student</v>
      </c>
      <c r="L21" s="2" t="str">
        <f t="shared" si="5"/>
        <v>STUDENT 20</v>
      </c>
    </row>
  </sheetData>
  <conditionalFormatting sqref="I2:I21">
    <cfRule type="cellIs" dxfId="0" priority="1" operator="equal">
      <formula>"A"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H1" workbookViewId="0">
      <selection activeCell="N2" sqref="N2"/>
    </sheetView>
  </sheetViews>
  <sheetFormatPr defaultColWidth="9" defaultRowHeight="14.5"/>
  <cols>
    <col min="1" max="15" width="20" customWidth="1"/>
  </cols>
  <sheetData>
    <row r="1" spans="1:1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>
      <c r="A2" s="2">
        <v>2001</v>
      </c>
      <c r="B2" s="2" t="s">
        <v>63</v>
      </c>
      <c r="C2" s="2" t="s">
        <v>64</v>
      </c>
      <c r="D2" s="2" t="s">
        <v>65</v>
      </c>
      <c r="E2" s="2">
        <v>7048</v>
      </c>
      <c r="F2" s="3" t="s">
        <v>66</v>
      </c>
      <c r="G2" s="2">
        <f t="shared" ref="G2:G21" si="0">ROUND(E2,-2)</f>
        <v>7000</v>
      </c>
      <c r="H2" s="2">
        <f t="shared" ref="H2:H21" si="1">CEILING(E2,100)</f>
        <v>7100</v>
      </c>
      <c r="I2" s="2">
        <f t="shared" ref="I2:I21" si="2">FLOOR(E2,100)</f>
        <v>7000</v>
      </c>
      <c r="J2" s="2">
        <f>VLOOKUP(B2,$B$2:$E$21,4,FALSE)</f>
        <v>7048</v>
      </c>
      <c r="K2" s="2">
        <f>_xlfn.XMATCH(B2,B2:B21)</f>
        <v>1</v>
      </c>
    </row>
    <row r="3" spans="1:11">
      <c r="A3" s="2">
        <v>2002</v>
      </c>
      <c r="B3" s="2" t="s">
        <v>67</v>
      </c>
      <c r="C3" s="2" t="s">
        <v>68</v>
      </c>
      <c r="D3" s="2" t="s">
        <v>69</v>
      </c>
      <c r="E3" s="2">
        <v>17428</v>
      </c>
      <c r="F3" s="3" t="s">
        <v>70</v>
      </c>
      <c r="G3" s="2">
        <f t="shared" si="0"/>
        <v>17400</v>
      </c>
      <c r="H3" s="2">
        <f t="shared" si="1"/>
        <v>17500</v>
      </c>
      <c r="I3" s="2">
        <f t="shared" si="2"/>
        <v>17400</v>
      </c>
      <c r="J3" s="2">
        <f>VLOOKUP(B3,$B$2:$E$21,4,FALSE)</f>
        <v>17428</v>
      </c>
      <c r="K3" s="2">
        <f>_xlfn.XMATCH(B3,B2:B21)</f>
        <v>2</v>
      </c>
    </row>
    <row r="4" spans="1:11">
      <c r="A4" s="2">
        <v>2003</v>
      </c>
      <c r="B4" s="2" t="s">
        <v>71</v>
      </c>
      <c r="C4" s="2" t="s">
        <v>64</v>
      </c>
      <c r="D4" s="2" t="s">
        <v>72</v>
      </c>
      <c r="E4" s="2">
        <v>23672</v>
      </c>
      <c r="F4" s="3" t="s">
        <v>73</v>
      </c>
      <c r="G4" s="2">
        <f t="shared" si="0"/>
        <v>23700</v>
      </c>
      <c r="H4" s="2">
        <f t="shared" si="1"/>
        <v>23700</v>
      </c>
      <c r="I4" s="2">
        <f t="shared" si="2"/>
        <v>23600</v>
      </c>
      <c r="J4" s="2">
        <f>VLOOKUP(B4,$B$2:$E$21,4,FALSE)</f>
        <v>23672</v>
      </c>
      <c r="K4" s="2">
        <f>_xlfn.XMATCH(B4,B2:B21)</f>
        <v>3</v>
      </c>
    </row>
    <row r="5" spans="1:11">
      <c r="A5" s="2">
        <v>2004</v>
      </c>
      <c r="B5" s="2" t="s">
        <v>67</v>
      </c>
      <c r="C5" s="2" t="s">
        <v>74</v>
      </c>
      <c r="D5" s="2" t="s">
        <v>75</v>
      </c>
      <c r="E5" s="2">
        <v>5264</v>
      </c>
      <c r="F5" s="3" t="s">
        <v>76</v>
      </c>
      <c r="G5" s="2">
        <f t="shared" si="0"/>
        <v>5300</v>
      </c>
      <c r="H5" s="2">
        <f t="shared" si="1"/>
        <v>5300</v>
      </c>
      <c r="I5" s="2">
        <f t="shared" si="2"/>
        <v>5200</v>
      </c>
      <c r="J5" s="2">
        <f>VLOOKUP(B5,$B$2:$E$21,4,FALSE)</f>
        <v>17428</v>
      </c>
      <c r="K5" s="2">
        <f>_xlfn.XMATCH(B5,B2:B21)</f>
        <v>2</v>
      </c>
    </row>
    <row r="6" spans="1:11">
      <c r="A6" s="2">
        <v>2005</v>
      </c>
      <c r="B6" s="2" t="s">
        <v>63</v>
      </c>
      <c r="C6" s="2" t="s">
        <v>77</v>
      </c>
      <c r="D6" s="2" t="s">
        <v>78</v>
      </c>
      <c r="E6" s="2">
        <v>43388</v>
      </c>
      <c r="F6" s="3" t="s">
        <v>79</v>
      </c>
      <c r="G6" s="2">
        <f t="shared" si="0"/>
        <v>43400</v>
      </c>
      <c r="H6" s="2">
        <f t="shared" si="1"/>
        <v>43400</v>
      </c>
      <c r="I6" s="2">
        <f t="shared" si="2"/>
        <v>43300</v>
      </c>
      <c r="J6" s="2">
        <f>VLOOKUP(B6,$B$2:$E$21,4,FALSE)</f>
        <v>7048</v>
      </c>
      <c r="K6" s="2">
        <f>_xlfn.XMATCH(B6,B2:B21)</f>
        <v>1</v>
      </c>
    </row>
    <row r="7" spans="1:11">
      <c r="A7" s="2">
        <v>2006</v>
      </c>
      <c r="B7" s="2" t="s">
        <v>71</v>
      </c>
      <c r="C7" s="2" t="s">
        <v>77</v>
      </c>
      <c r="D7" s="2" t="s">
        <v>80</v>
      </c>
      <c r="E7" s="2">
        <v>19757</v>
      </c>
      <c r="F7" s="3" t="s">
        <v>81</v>
      </c>
      <c r="G7" s="2">
        <f t="shared" si="0"/>
        <v>19800</v>
      </c>
      <c r="H7" s="2">
        <f t="shared" si="1"/>
        <v>19800</v>
      </c>
      <c r="I7" s="2">
        <f t="shared" si="2"/>
        <v>19700</v>
      </c>
      <c r="J7" s="2">
        <f>VLOOKUP(B7,$B$2:$E$21,4,FALSE)</f>
        <v>23672</v>
      </c>
      <c r="K7" s="2">
        <f>_xlfn.XMATCH(B7,B2:B21)</f>
        <v>3</v>
      </c>
    </row>
    <row r="8" spans="1:11">
      <c r="A8" s="2">
        <v>2007</v>
      </c>
      <c r="B8" s="2" t="s">
        <v>71</v>
      </c>
      <c r="C8" s="2" t="s">
        <v>74</v>
      </c>
      <c r="D8" s="2" t="s">
        <v>82</v>
      </c>
      <c r="E8" s="2">
        <v>32058</v>
      </c>
      <c r="F8" s="3" t="s">
        <v>83</v>
      </c>
      <c r="G8" s="2">
        <f t="shared" si="0"/>
        <v>32100</v>
      </c>
      <c r="H8" s="2">
        <f t="shared" si="1"/>
        <v>32100</v>
      </c>
      <c r="I8" s="2">
        <f t="shared" si="2"/>
        <v>32000</v>
      </c>
      <c r="J8" s="2">
        <f>VLOOKUP(B8,$B$2:$E$21,4,FALSE)</f>
        <v>23672</v>
      </c>
      <c r="K8" s="2">
        <f>_xlfn.XMATCH(B8,B2:B21)</f>
        <v>3</v>
      </c>
    </row>
    <row r="9" spans="1:11">
      <c r="A9" s="2">
        <v>2008</v>
      </c>
      <c r="B9" s="2" t="s">
        <v>63</v>
      </c>
      <c r="C9" s="2" t="s">
        <v>74</v>
      </c>
      <c r="D9" s="2" t="s">
        <v>84</v>
      </c>
      <c r="E9" s="2">
        <v>46429</v>
      </c>
      <c r="F9" s="3" t="s">
        <v>85</v>
      </c>
      <c r="G9" s="2">
        <f t="shared" si="0"/>
        <v>46400</v>
      </c>
      <c r="H9" s="2">
        <f t="shared" si="1"/>
        <v>46500</v>
      </c>
      <c r="I9" s="2">
        <f t="shared" si="2"/>
        <v>46400</v>
      </c>
      <c r="J9" s="2">
        <f>VLOOKUP(B9,$B$2:$E$21,4,FALSE)</f>
        <v>7048</v>
      </c>
      <c r="K9" s="2">
        <f>_xlfn.XMATCH(B9,B2:B21)</f>
        <v>1</v>
      </c>
    </row>
    <row r="10" spans="1:11">
      <c r="A10" s="2">
        <v>2009</v>
      </c>
      <c r="B10" s="2" t="s">
        <v>67</v>
      </c>
      <c r="C10" s="2" t="s">
        <v>74</v>
      </c>
      <c r="D10" s="2" t="s">
        <v>86</v>
      </c>
      <c r="E10" s="2">
        <v>19746</v>
      </c>
      <c r="F10" s="3" t="s">
        <v>87</v>
      </c>
      <c r="G10" s="2">
        <f t="shared" si="0"/>
        <v>19700</v>
      </c>
      <c r="H10" s="2">
        <f t="shared" si="1"/>
        <v>19800</v>
      </c>
      <c r="I10" s="2">
        <f t="shared" si="2"/>
        <v>19700</v>
      </c>
      <c r="J10" s="2">
        <f>VLOOKUP(B10,$B$2:$E$21,4,FALSE)</f>
        <v>17428</v>
      </c>
      <c r="K10" s="2">
        <f>_xlfn.XMATCH(B10,B2:B21)</f>
        <v>2</v>
      </c>
    </row>
    <row r="11" spans="1:11">
      <c r="A11" s="2">
        <v>2010</v>
      </c>
      <c r="B11" s="2" t="s">
        <v>63</v>
      </c>
      <c r="C11" s="2" t="s">
        <v>64</v>
      </c>
      <c r="D11" s="2" t="s">
        <v>88</v>
      </c>
      <c r="E11" s="2">
        <v>35185</v>
      </c>
      <c r="F11" s="3" t="s">
        <v>89</v>
      </c>
      <c r="G11" s="2">
        <f t="shared" si="0"/>
        <v>35200</v>
      </c>
      <c r="H11" s="2">
        <f t="shared" si="1"/>
        <v>35200</v>
      </c>
      <c r="I11" s="2">
        <f t="shared" si="2"/>
        <v>35100</v>
      </c>
      <c r="J11" s="2">
        <f>VLOOKUP(B11,$B$2:$E$21,4,FALSE)</f>
        <v>7048</v>
      </c>
      <c r="K11" s="2">
        <f>_xlfn.XMATCH(B11,B2:B21)</f>
        <v>1</v>
      </c>
    </row>
    <row r="12" spans="1:11">
      <c r="A12" s="2">
        <v>2011</v>
      </c>
      <c r="B12" s="2" t="s">
        <v>63</v>
      </c>
      <c r="C12" s="2" t="s">
        <v>74</v>
      </c>
      <c r="D12" s="2" t="s">
        <v>90</v>
      </c>
      <c r="E12" s="2">
        <v>33920</v>
      </c>
      <c r="F12" s="3" t="s">
        <v>91</v>
      </c>
      <c r="G12" s="2">
        <f t="shared" si="0"/>
        <v>33900</v>
      </c>
      <c r="H12" s="2">
        <f t="shared" si="1"/>
        <v>34000</v>
      </c>
      <c r="I12" s="2">
        <f t="shared" si="2"/>
        <v>33900</v>
      </c>
      <c r="J12" s="2">
        <f>VLOOKUP(B12,$B$2:$E$21,4,FALSE)</f>
        <v>7048</v>
      </c>
      <c r="K12" s="2">
        <f>_xlfn.XMATCH(B12,B2:B21)</f>
        <v>1</v>
      </c>
    </row>
    <row r="13" spans="1:11">
      <c r="A13" s="2">
        <v>2012</v>
      </c>
      <c r="B13" s="2" t="s">
        <v>92</v>
      </c>
      <c r="C13" s="2" t="s">
        <v>77</v>
      </c>
      <c r="D13" s="2" t="s">
        <v>93</v>
      </c>
      <c r="E13" s="2">
        <v>35611</v>
      </c>
      <c r="F13" s="3" t="s">
        <v>94</v>
      </c>
      <c r="G13" s="2">
        <f t="shared" si="0"/>
        <v>35600</v>
      </c>
      <c r="H13" s="2">
        <f t="shared" si="1"/>
        <v>35700</v>
      </c>
      <c r="I13" s="2">
        <f t="shared" si="2"/>
        <v>35600</v>
      </c>
      <c r="J13" s="2">
        <f>VLOOKUP(B13,$B$2:$E$21,4,FALSE)</f>
        <v>35611</v>
      </c>
      <c r="K13" s="2">
        <f>_xlfn.XMATCH(B13,B2:B21)</f>
        <v>12</v>
      </c>
    </row>
    <row r="14" spans="1:11">
      <c r="A14" s="2">
        <v>2013</v>
      </c>
      <c r="B14" s="2" t="s">
        <v>95</v>
      </c>
      <c r="C14" s="2" t="s">
        <v>74</v>
      </c>
      <c r="D14" s="2" t="s">
        <v>96</v>
      </c>
      <c r="E14" s="2">
        <v>15560</v>
      </c>
      <c r="F14" s="3" t="s">
        <v>97</v>
      </c>
      <c r="G14" s="2">
        <f t="shared" si="0"/>
        <v>15600</v>
      </c>
      <c r="H14" s="2">
        <f t="shared" si="1"/>
        <v>15600</v>
      </c>
      <c r="I14" s="2">
        <f t="shared" si="2"/>
        <v>15500</v>
      </c>
      <c r="J14" s="2">
        <f>VLOOKUP(B14,$B$2:$E$21,4,FALSE)</f>
        <v>15560</v>
      </c>
      <c r="K14" s="2">
        <f>_xlfn.XMATCH(B14,B2:B21)</f>
        <v>13</v>
      </c>
    </row>
    <row r="15" spans="1:11">
      <c r="A15" s="2">
        <v>2014</v>
      </c>
      <c r="B15" s="2" t="s">
        <v>95</v>
      </c>
      <c r="C15" s="2" t="s">
        <v>64</v>
      </c>
      <c r="D15" s="2" t="s">
        <v>98</v>
      </c>
      <c r="E15" s="2">
        <v>7283</v>
      </c>
      <c r="F15" s="3" t="s">
        <v>99</v>
      </c>
      <c r="G15" s="2">
        <f t="shared" si="0"/>
        <v>7300</v>
      </c>
      <c r="H15" s="2">
        <f t="shared" si="1"/>
        <v>7300</v>
      </c>
      <c r="I15" s="2">
        <f t="shared" si="2"/>
        <v>7200</v>
      </c>
      <c r="J15" s="2">
        <f>VLOOKUP(B15,$B$2:$E$21,4,FALSE)</f>
        <v>15560</v>
      </c>
      <c r="K15" s="2">
        <f>_xlfn.XMATCH(B15,B2:B21)</f>
        <v>13</v>
      </c>
    </row>
    <row r="16" spans="1:11">
      <c r="A16" s="2">
        <v>2015</v>
      </c>
      <c r="B16" s="2" t="s">
        <v>95</v>
      </c>
      <c r="C16" s="2" t="s">
        <v>74</v>
      </c>
      <c r="D16" s="2" t="s">
        <v>100</v>
      </c>
      <c r="E16" s="2">
        <v>15678</v>
      </c>
      <c r="F16" s="3" t="s">
        <v>101</v>
      </c>
      <c r="G16" s="2">
        <f t="shared" si="0"/>
        <v>15700</v>
      </c>
      <c r="H16" s="2">
        <f t="shared" si="1"/>
        <v>15700</v>
      </c>
      <c r="I16" s="2">
        <f t="shared" si="2"/>
        <v>15600</v>
      </c>
      <c r="J16" s="2">
        <f>VLOOKUP(B16,$B$2:$E$21,4,FALSE)</f>
        <v>15560</v>
      </c>
      <c r="K16" s="2">
        <f>_xlfn.XMATCH(B16,B2:B21)</f>
        <v>13</v>
      </c>
    </row>
    <row r="17" spans="1:11">
      <c r="A17" s="2">
        <v>2016</v>
      </c>
      <c r="B17" s="2" t="s">
        <v>71</v>
      </c>
      <c r="C17" s="2" t="s">
        <v>74</v>
      </c>
      <c r="D17" s="2" t="s">
        <v>102</v>
      </c>
      <c r="E17" s="2">
        <v>5277</v>
      </c>
      <c r="F17" s="3" t="s">
        <v>103</v>
      </c>
      <c r="G17" s="2">
        <f t="shared" si="0"/>
        <v>5300</v>
      </c>
      <c r="H17" s="2">
        <f t="shared" si="1"/>
        <v>5300</v>
      </c>
      <c r="I17" s="2">
        <f t="shared" si="2"/>
        <v>5200</v>
      </c>
      <c r="J17" s="2">
        <f>VLOOKUP(B17,$B$2:$E$21,4,FALSE)</f>
        <v>23672</v>
      </c>
      <c r="K17" s="2">
        <f>_xlfn.XMATCH(B17,B2:B21)</f>
        <v>3</v>
      </c>
    </row>
    <row r="18" spans="1:11">
      <c r="A18" s="2">
        <v>2017</v>
      </c>
      <c r="B18" s="2" t="s">
        <v>92</v>
      </c>
      <c r="C18" s="2" t="s">
        <v>77</v>
      </c>
      <c r="D18" s="2" t="s">
        <v>104</v>
      </c>
      <c r="E18" s="2">
        <v>41871</v>
      </c>
      <c r="F18" s="3" t="s">
        <v>105</v>
      </c>
      <c r="G18" s="2">
        <f t="shared" si="0"/>
        <v>41900</v>
      </c>
      <c r="H18" s="2">
        <f t="shared" si="1"/>
        <v>41900</v>
      </c>
      <c r="I18" s="2">
        <f t="shared" si="2"/>
        <v>41800</v>
      </c>
      <c r="J18" s="2">
        <f>VLOOKUP(B18,$B$2:$E$21,4,FALSE)</f>
        <v>35611</v>
      </c>
      <c r="K18" s="2">
        <f>_xlfn.XMATCH(B18,B2:B21)</f>
        <v>12</v>
      </c>
    </row>
    <row r="19" spans="1:11">
      <c r="A19" s="2">
        <v>2018</v>
      </c>
      <c r="B19" s="2" t="s">
        <v>92</v>
      </c>
      <c r="C19" s="2" t="s">
        <v>68</v>
      </c>
      <c r="D19" s="2" t="s">
        <v>106</v>
      </c>
      <c r="E19" s="2">
        <v>38161</v>
      </c>
      <c r="F19" s="3" t="s">
        <v>107</v>
      </c>
      <c r="G19" s="2">
        <f t="shared" si="0"/>
        <v>38200</v>
      </c>
      <c r="H19" s="2">
        <f t="shared" si="1"/>
        <v>38200</v>
      </c>
      <c r="I19" s="2">
        <f t="shared" si="2"/>
        <v>38100</v>
      </c>
      <c r="J19" s="2">
        <f>VLOOKUP(B19,$B$2:$E$21,4,FALSE)</f>
        <v>35611</v>
      </c>
      <c r="K19" s="2">
        <f>_xlfn.XMATCH(B19,B2:B21)</f>
        <v>12</v>
      </c>
    </row>
    <row r="20" spans="1:11">
      <c r="A20" s="2">
        <v>2019</v>
      </c>
      <c r="B20" s="2" t="s">
        <v>71</v>
      </c>
      <c r="C20" s="2" t="s">
        <v>68</v>
      </c>
      <c r="D20" s="2" t="s">
        <v>108</v>
      </c>
      <c r="E20" s="2">
        <v>30436</v>
      </c>
      <c r="F20" s="3" t="s">
        <v>109</v>
      </c>
      <c r="G20" s="2">
        <f t="shared" si="0"/>
        <v>30400</v>
      </c>
      <c r="H20" s="2">
        <f t="shared" si="1"/>
        <v>30500</v>
      </c>
      <c r="I20" s="2">
        <f t="shared" si="2"/>
        <v>30400</v>
      </c>
      <c r="J20" s="2">
        <f>VLOOKUP(B20,$B$2:$E$21,4,FALSE)</f>
        <v>23672</v>
      </c>
      <c r="K20" s="2">
        <f>_xlfn.XMATCH(B20,B2:B21)</f>
        <v>3</v>
      </c>
    </row>
    <row r="21" spans="1:11">
      <c r="A21" s="2">
        <v>2020</v>
      </c>
      <c r="B21" s="2" t="s">
        <v>67</v>
      </c>
      <c r="C21" s="2" t="s">
        <v>68</v>
      </c>
      <c r="D21" s="2" t="s">
        <v>110</v>
      </c>
      <c r="E21" s="2">
        <v>33953</v>
      </c>
      <c r="F21" s="3" t="s">
        <v>111</v>
      </c>
      <c r="G21" s="2">
        <f t="shared" si="0"/>
        <v>34000</v>
      </c>
      <c r="H21" s="2">
        <f t="shared" si="1"/>
        <v>34000</v>
      </c>
      <c r="I21" s="2">
        <f t="shared" si="2"/>
        <v>33900</v>
      </c>
      <c r="J21" s="2">
        <f>VLOOKUP(B21,$B$2:$E$21,4,FALSE)</f>
        <v>17428</v>
      </c>
      <c r="K21" s="2">
        <f>_xlfn.XMATCH(B21,B2:B21)</f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I1" workbookViewId="0">
      <selection activeCell="L3" sqref="L3"/>
    </sheetView>
  </sheetViews>
  <sheetFormatPr defaultColWidth="9" defaultRowHeight="14.5" outlineLevelCol="7"/>
  <cols>
    <col min="1" max="12" width="20" customWidth="1"/>
  </cols>
  <sheetData>
    <row r="1" spans="1:8">
      <c r="A1" s="1" t="s">
        <v>112</v>
      </c>
      <c r="B1" s="1" t="s">
        <v>1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</row>
    <row r="2" spans="1:8">
      <c r="A2" s="2">
        <v>3001</v>
      </c>
      <c r="B2" s="2" t="s">
        <v>119</v>
      </c>
      <c r="C2" s="2" t="s">
        <v>120</v>
      </c>
      <c r="D2" s="2">
        <v>86766</v>
      </c>
      <c r="E2" s="3" t="s">
        <v>121</v>
      </c>
      <c r="F2" s="2">
        <f ca="1" t="shared" ref="F2:F21" si="0">DATEDIF(E2,TODAY(),"Y")</f>
        <v>11</v>
      </c>
      <c r="G2" s="2">
        <f>_xlfn.XLOOKUP(A2,A2:A21,D2:D21)</f>
        <v>86766</v>
      </c>
      <c r="H2" s="2">
        <f>INDEX(D2:D21,MATCH(A2,A2:A21,0))</f>
        <v>86766</v>
      </c>
    </row>
    <row r="3" spans="1:8">
      <c r="A3" s="2">
        <v>3002</v>
      </c>
      <c r="B3" s="2" t="s">
        <v>122</v>
      </c>
      <c r="C3" s="2" t="s">
        <v>120</v>
      </c>
      <c r="D3" s="2">
        <v>31943</v>
      </c>
      <c r="E3" s="3" t="s">
        <v>123</v>
      </c>
      <c r="F3" s="2">
        <f ca="1" t="shared" si="0"/>
        <v>10</v>
      </c>
      <c r="G3" s="2">
        <f>_xlfn.XLOOKUP(A3,A2:A21,D2:D21)</f>
        <v>31943</v>
      </c>
      <c r="H3" s="2">
        <f>INDEX(D2:D21,MATCH(A3,A2:A21,0))</f>
        <v>31943</v>
      </c>
    </row>
    <row r="4" spans="1:8">
      <c r="A4" s="2">
        <v>3003</v>
      </c>
      <c r="B4" s="2" t="s">
        <v>124</v>
      </c>
      <c r="C4" s="2" t="s">
        <v>125</v>
      </c>
      <c r="D4" s="2">
        <v>63374</v>
      </c>
      <c r="E4" s="3" t="s">
        <v>126</v>
      </c>
      <c r="F4" s="2">
        <f ca="1" t="shared" si="0"/>
        <v>10</v>
      </c>
      <c r="G4" s="2">
        <f>_xlfn.XLOOKUP(A4,A2:A21,D2:D21)</f>
        <v>63374</v>
      </c>
      <c r="H4" s="2">
        <f>INDEX(D2:D21,MATCH(A4,A2:A21,0))</f>
        <v>63374</v>
      </c>
    </row>
    <row r="5" spans="1:8">
      <c r="A5" s="2">
        <v>3004</v>
      </c>
      <c r="B5" s="2" t="s">
        <v>127</v>
      </c>
      <c r="C5" s="2" t="s">
        <v>120</v>
      </c>
      <c r="D5" s="2">
        <v>109972</v>
      </c>
      <c r="E5" s="3" t="s">
        <v>128</v>
      </c>
      <c r="F5" s="2">
        <f ca="1" t="shared" si="0"/>
        <v>9</v>
      </c>
      <c r="G5" s="2">
        <f>_xlfn.XLOOKUP(A5,A2:A21,D2:D21)</f>
        <v>109972</v>
      </c>
      <c r="H5" s="2">
        <f>INDEX(D2:D21,MATCH(A5,A2:A21,0))</f>
        <v>109972</v>
      </c>
    </row>
    <row r="6" spans="1:8">
      <c r="A6" s="2">
        <v>3005</v>
      </c>
      <c r="B6" s="2" t="s">
        <v>129</v>
      </c>
      <c r="C6" s="2" t="s">
        <v>130</v>
      </c>
      <c r="D6" s="2">
        <v>54149</v>
      </c>
      <c r="E6" s="3" t="s">
        <v>131</v>
      </c>
      <c r="F6" s="2">
        <f ca="1" t="shared" si="0"/>
        <v>8</v>
      </c>
      <c r="G6" s="2">
        <f>_xlfn.XLOOKUP(A6,A2:A21,D2:D21)</f>
        <v>54149</v>
      </c>
      <c r="H6" s="2">
        <f>INDEX(D2:D21,MATCH(A6,A2:A21,0))</f>
        <v>54149</v>
      </c>
    </row>
    <row r="7" spans="1:8">
      <c r="A7" s="2">
        <v>3006</v>
      </c>
      <c r="B7" s="2" t="s">
        <v>132</v>
      </c>
      <c r="C7" s="2" t="s">
        <v>130</v>
      </c>
      <c r="D7" s="2">
        <v>78689</v>
      </c>
      <c r="E7" s="3" t="s">
        <v>133</v>
      </c>
      <c r="F7" s="2">
        <f ca="1" t="shared" si="0"/>
        <v>7</v>
      </c>
      <c r="G7" s="2">
        <f>_xlfn.XLOOKUP(A7,A2:A21,D2:D21)</f>
        <v>78689</v>
      </c>
      <c r="H7" s="2">
        <f>INDEX(D2:D21,MATCH(A7,A2:A21,0))</f>
        <v>78689</v>
      </c>
    </row>
    <row r="8" spans="1:8">
      <c r="A8" s="2">
        <v>3007</v>
      </c>
      <c r="B8" s="2" t="s">
        <v>134</v>
      </c>
      <c r="C8" s="2" t="s">
        <v>135</v>
      </c>
      <c r="D8" s="2">
        <v>35960</v>
      </c>
      <c r="E8" s="3" t="s">
        <v>136</v>
      </c>
      <c r="F8" s="2">
        <f ca="1" t="shared" si="0"/>
        <v>7</v>
      </c>
      <c r="G8" s="2">
        <f>_xlfn.XLOOKUP(A8,A2:A21,D2:D21)</f>
        <v>35960</v>
      </c>
      <c r="H8" s="2">
        <f>INDEX(D2:D21,MATCH(A8,A2:A21,0))</f>
        <v>35960</v>
      </c>
    </row>
    <row r="9" spans="1:8">
      <c r="A9" s="2">
        <v>3008</v>
      </c>
      <c r="B9" s="2" t="s">
        <v>137</v>
      </c>
      <c r="C9" s="2" t="s">
        <v>130</v>
      </c>
      <c r="D9" s="2">
        <v>91659</v>
      </c>
      <c r="E9" s="3" t="s">
        <v>138</v>
      </c>
      <c r="F9" s="2">
        <f ca="1" t="shared" si="0"/>
        <v>6</v>
      </c>
      <c r="G9" s="2">
        <f>_xlfn.XLOOKUP(A9,A2:A21,D2:D21)</f>
        <v>91659</v>
      </c>
      <c r="H9" s="2">
        <f>INDEX(D2:D21,MATCH(A9,A2:A21,0))</f>
        <v>91659</v>
      </c>
    </row>
    <row r="10" spans="1:8">
      <c r="A10" s="2">
        <v>3009</v>
      </c>
      <c r="B10" s="2" t="s">
        <v>139</v>
      </c>
      <c r="C10" s="2" t="s">
        <v>130</v>
      </c>
      <c r="D10" s="2">
        <v>90423</v>
      </c>
      <c r="E10" s="3" t="s">
        <v>140</v>
      </c>
      <c r="F10" s="2">
        <f ca="1" t="shared" si="0"/>
        <v>5</v>
      </c>
      <c r="G10" s="2">
        <f>_xlfn.XLOOKUP(A10,A2:A21,D2:D21)</f>
        <v>90423</v>
      </c>
      <c r="H10" s="2">
        <f>INDEX(D2:D21,MATCH(A10,A2:A21,0))</f>
        <v>90423</v>
      </c>
    </row>
    <row r="11" spans="1:8">
      <c r="A11" s="2">
        <v>3010</v>
      </c>
      <c r="B11" s="2" t="s">
        <v>141</v>
      </c>
      <c r="C11" s="2" t="s">
        <v>125</v>
      </c>
      <c r="D11" s="2">
        <v>107877</v>
      </c>
      <c r="E11" s="3" t="s">
        <v>142</v>
      </c>
      <c r="F11" s="2">
        <f ca="1" t="shared" si="0"/>
        <v>5</v>
      </c>
      <c r="G11" s="2">
        <f>_xlfn.XLOOKUP(A11,A2:A21,D2:D21)</f>
        <v>107877</v>
      </c>
      <c r="H11" s="2">
        <f>INDEX(D2:D21,MATCH(A11,A2:A21,0))</f>
        <v>107877</v>
      </c>
    </row>
    <row r="12" spans="1:8">
      <c r="A12" s="2">
        <v>3011</v>
      </c>
      <c r="B12" s="2" t="s">
        <v>143</v>
      </c>
      <c r="C12" s="2" t="s">
        <v>120</v>
      </c>
      <c r="D12" s="2">
        <v>107634</v>
      </c>
      <c r="E12" s="3" t="s">
        <v>144</v>
      </c>
      <c r="F12" s="2">
        <f ca="1" t="shared" si="0"/>
        <v>4</v>
      </c>
      <c r="G12" s="2">
        <f>_xlfn.XLOOKUP(A12,A2:A21,D2:D21)</f>
        <v>107634</v>
      </c>
      <c r="H12" s="2">
        <f>INDEX(D2:D21,MATCH(A12,A2:A21,0))</f>
        <v>107634</v>
      </c>
    </row>
    <row r="13" spans="1:8">
      <c r="A13" s="2">
        <v>3012</v>
      </c>
      <c r="B13" s="2" t="s">
        <v>145</v>
      </c>
      <c r="C13" s="2" t="s">
        <v>120</v>
      </c>
      <c r="D13" s="2">
        <v>35226</v>
      </c>
      <c r="E13" s="3" t="s">
        <v>146</v>
      </c>
      <c r="F13" s="2">
        <f ca="1" t="shared" si="0"/>
        <v>3</v>
      </c>
      <c r="G13" s="2">
        <f>_xlfn.XLOOKUP(A13,A2:A21,D2:D21)</f>
        <v>35226</v>
      </c>
      <c r="H13" s="2">
        <f>INDEX(D2:D21,MATCH(A13,A2:A21,0))</f>
        <v>35226</v>
      </c>
    </row>
    <row r="14" spans="1:8">
      <c r="A14" s="2">
        <v>3013</v>
      </c>
      <c r="B14" s="2" t="s">
        <v>147</v>
      </c>
      <c r="C14" s="2" t="s">
        <v>125</v>
      </c>
      <c r="D14" s="2">
        <v>40872</v>
      </c>
      <c r="E14" s="3" t="s">
        <v>148</v>
      </c>
      <c r="F14" s="2">
        <f ca="1" t="shared" si="0"/>
        <v>3</v>
      </c>
      <c r="G14" s="2">
        <f>_xlfn.XLOOKUP(A14,A2:A21,D2:D21)</f>
        <v>40872</v>
      </c>
      <c r="H14" s="2">
        <f>INDEX(D2:D21,MATCH(A14,A2:A21,0))</f>
        <v>40872</v>
      </c>
    </row>
    <row r="15" spans="1:8">
      <c r="A15" s="2">
        <v>3014</v>
      </c>
      <c r="B15" s="2" t="s">
        <v>149</v>
      </c>
      <c r="C15" s="2" t="s">
        <v>125</v>
      </c>
      <c r="D15" s="2">
        <v>55378</v>
      </c>
      <c r="E15" s="3" t="s">
        <v>150</v>
      </c>
      <c r="F15" s="2">
        <f ca="1" t="shared" si="0"/>
        <v>2</v>
      </c>
      <c r="G15" s="2">
        <f>_xlfn.XLOOKUP(A15,A2:A21,D2:D21)</f>
        <v>55378</v>
      </c>
      <c r="H15" s="2">
        <f>INDEX(D2:D21,MATCH(A15,A2:A21,0))</f>
        <v>55378</v>
      </c>
    </row>
    <row r="16" spans="1:8">
      <c r="A16" s="2">
        <v>3015</v>
      </c>
      <c r="B16" s="2" t="s">
        <v>151</v>
      </c>
      <c r="C16" s="2" t="s">
        <v>125</v>
      </c>
      <c r="D16" s="2">
        <v>63297</v>
      </c>
      <c r="E16" s="3" t="s">
        <v>152</v>
      </c>
      <c r="F16" s="2">
        <f ca="1" t="shared" si="0"/>
        <v>1</v>
      </c>
      <c r="G16" s="2">
        <f>_xlfn.XLOOKUP(A16,A2:A21,D2:D21)</f>
        <v>63297</v>
      </c>
      <c r="H16" s="2">
        <f>INDEX(D2:D21,MATCH(A16,A2:A21,0))</f>
        <v>63297</v>
      </c>
    </row>
    <row r="17" spans="1:8">
      <c r="A17" s="2">
        <v>3016</v>
      </c>
      <c r="B17" s="2" t="s">
        <v>153</v>
      </c>
      <c r="C17" s="2" t="s">
        <v>120</v>
      </c>
      <c r="D17" s="2">
        <v>114173</v>
      </c>
      <c r="E17" s="3" t="s">
        <v>154</v>
      </c>
      <c r="F17" s="2">
        <f ca="1" t="shared" si="0"/>
        <v>1</v>
      </c>
      <c r="G17" s="2">
        <f>_xlfn.XLOOKUP(A17,A2:A21,D2:D21)</f>
        <v>114173</v>
      </c>
      <c r="H17" s="2">
        <f>INDEX(D2:D21,MATCH(A17,A2:A21,0))</f>
        <v>114173</v>
      </c>
    </row>
    <row r="18" spans="1:8">
      <c r="A18" s="2">
        <v>3017</v>
      </c>
      <c r="B18" s="2" t="s">
        <v>155</v>
      </c>
      <c r="C18" s="2" t="s">
        <v>125</v>
      </c>
      <c r="D18" s="2">
        <v>86915</v>
      </c>
      <c r="E18" s="3" t="s">
        <v>156</v>
      </c>
      <c r="F18" s="2">
        <f ca="1" t="shared" si="0"/>
        <v>0</v>
      </c>
      <c r="G18" s="2">
        <f>_xlfn.XLOOKUP(A18,A2:A21,D2:D21)</f>
        <v>86915</v>
      </c>
      <c r="H18" s="2">
        <f>INDEX(D2:D21,MATCH(A18,A2:A21,0))</f>
        <v>86915</v>
      </c>
    </row>
    <row r="19" spans="1:8">
      <c r="A19" s="2">
        <v>3018</v>
      </c>
      <c r="B19" s="2" t="s">
        <v>157</v>
      </c>
      <c r="C19" s="2" t="s">
        <v>130</v>
      </c>
      <c r="D19" s="2">
        <v>116284</v>
      </c>
      <c r="E19" s="3" t="s">
        <v>158</v>
      </c>
      <c r="F19" s="2">
        <f ca="1" t="shared" si="0"/>
        <v>0</v>
      </c>
      <c r="G19" s="2">
        <f>_xlfn.XLOOKUP(A19,A2:A21,D2:D21)</f>
        <v>116284</v>
      </c>
      <c r="H19" s="2">
        <f>INDEX(D2:D21,MATCH(A19,A2:A21,0))</f>
        <v>116284</v>
      </c>
    </row>
    <row r="20" spans="1:8">
      <c r="A20" s="2">
        <v>3019</v>
      </c>
      <c r="B20" s="2" t="s">
        <v>159</v>
      </c>
      <c r="C20" s="2" t="s">
        <v>135</v>
      </c>
      <c r="D20" s="2">
        <v>116283</v>
      </c>
      <c r="E20" s="3" t="s">
        <v>160</v>
      </c>
      <c r="F20" s="2">
        <f ca="1" t="shared" si="0"/>
        <v>0</v>
      </c>
      <c r="G20" s="2">
        <f>_xlfn.XLOOKUP(A20,A2:A21,D2:D21)</f>
        <v>116283</v>
      </c>
      <c r="H20" s="2">
        <f>INDEX(D2:D21,MATCH(A20,A2:A21,0))</f>
        <v>116283</v>
      </c>
    </row>
    <row r="21" spans="1:8">
      <c r="A21" s="2">
        <v>3020</v>
      </c>
      <c r="B21" s="2" t="s">
        <v>161</v>
      </c>
      <c r="C21" s="2" t="s">
        <v>135</v>
      </c>
      <c r="D21" s="2">
        <v>99924</v>
      </c>
      <c r="E21" s="3" t="s">
        <v>162</v>
      </c>
      <c r="F21" s="2">
        <f ca="1" t="shared" si="0"/>
        <v>-1</v>
      </c>
      <c r="G21" s="2">
        <f>_xlfn.XLOOKUP(A21,A2:A21,D2:D21)</f>
        <v>99924</v>
      </c>
      <c r="H21" s="2">
        <f>INDEX(D2:D21,MATCH(A21,A2:A21,0))</f>
        <v>99924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Waghmashi</cp:lastModifiedBy>
  <dcterms:created xsi:type="dcterms:W3CDTF">2026-05-15T12:08:00Z</dcterms:created>
  <dcterms:modified xsi:type="dcterms:W3CDTF">2026-05-15T12:11:42Z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473FDBA83DAC448B8239872145608CBB_12</vt:lpwstr>
  </property>
  <property fmtid="{D5CDD505-2E9C-101B-9397-08002B2CF9AE}" pid="3" name="KSOProductBuildVer">
    <vt:lpwstr>2057-12.2.0.23197</vt:lpwstr>
  </property>
</Properties>
</file>