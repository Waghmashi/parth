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/>
  </bookViews>
  <sheets>
    <sheet name="Dataset" sheetId="1" r:id="rId1"/>
    <sheet name="Analysis" sheetId="2" r:id="rId2"/>
    <sheet name="Pivot_Report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<sst xmlns="http://schemas.openxmlformats.org/spreadsheetml/2006/main" count="1196" uniqueCount="248">
  <si>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</si>
  <si>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</si>
  <si>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</si>
  <si>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</si>
  <si>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</si>
  <si>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</si>
  <si>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</si>
  <si>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</si>
  <si>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</si>
  <si>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Timestamp</t>
  </si>
  <si>
    <t>CUST021</t>
  </si>
  <si>
    <t>Linda Wilson</t>
  </si>
  <si>
    <t>North</t>
  </si>
  <si>
    <t>Furniture</t>
  </si>
  <si>
    <t>2025-03-22</t>
  </si>
  <si>
    <t>2026-05-15 14:52:41</t>
  </si>
  <si>
    <t>CUST018</t>
  </si>
  <si>
    <t>James Taylor</t>
  </si>
  <si>
    <t>Central</t>
  </si>
  <si>
    <t>Office Supplies</t>
  </si>
  <si>
    <t>2024-08-07</t>
  </si>
  <si>
    <t>CUST001</t>
  </si>
  <si>
    <t>Lisa Thomas</t>
  </si>
  <si>
    <t>South</t>
  </si>
  <si>
    <t>Clothing</t>
  </si>
  <si>
    <t>2024-08-30</t>
  </si>
  <si>
    <t>James Wilson</t>
  </si>
  <si>
    <t>West</t>
  </si>
  <si>
    <t>2024-06-01</t>
  </si>
  <si>
    <t>CUST004</t>
  </si>
  <si>
    <t>Lisa Davis</t>
  </si>
  <si>
    <t>East</t>
  </si>
  <si>
    <t>2025-01-09</t>
  </si>
  <si>
    <t>CUST030</t>
  </si>
  <si>
    <t>Sarah Anderson</t>
  </si>
  <si>
    <t>2024-07-17</t>
  </si>
  <si>
    <t>CUST002</t>
  </si>
  <si>
    <t>Mary Jackson</t>
  </si>
  <si>
    <t>Books</t>
  </si>
  <si>
    <t>CUST027</t>
  </si>
  <si>
    <t>2025-02-15</t>
  </si>
  <si>
    <t>2025-03-26</t>
  </si>
  <si>
    <t>CUST025</t>
  </si>
  <si>
    <t>Robert Anderson</t>
  </si>
  <si>
    <t>2024-05-13</t>
  </si>
  <si>
    <t>CUST019</t>
  </si>
  <si>
    <t>David Brown</t>
  </si>
  <si>
    <t>2024-08-23</t>
  </si>
  <si>
    <t>CUST024</t>
  </si>
  <si>
    <t>2024-10-31</t>
  </si>
  <si>
    <t>CUST005</t>
  </si>
  <si>
    <t>Sarah Davis</t>
  </si>
  <si>
    <t>2025-02-25</t>
  </si>
  <si>
    <t>CUST022</t>
  </si>
  <si>
    <t>Linda Brown</t>
  </si>
  <si>
    <t>2024-08-16</t>
  </si>
  <si>
    <t>CUST028</t>
  </si>
  <si>
    <t>James Davis</t>
  </si>
  <si>
    <t>2024-09-07</t>
  </si>
  <si>
    <t>CUST015</t>
  </si>
  <si>
    <t>2025-02-24</t>
  </si>
  <si>
    <t>Electronics</t>
  </si>
  <si>
    <t>2025-01-06</t>
  </si>
  <si>
    <t>CUST020</t>
  </si>
  <si>
    <t>2024-08-10</t>
  </si>
  <si>
    <t>CUST029</t>
  </si>
  <si>
    <t>Emma Taylor</t>
  </si>
  <si>
    <t>2024-06-13</t>
  </si>
  <si>
    <t>CUST016</t>
  </si>
  <si>
    <t>2025-01-11</t>
  </si>
  <si>
    <t>CUST023</t>
  </si>
  <si>
    <t>Michael Anderson</t>
  </si>
  <si>
    <t>2024-12-30</t>
  </si>
  <si>
    <t>CUST008</t>
  </si>
  <si>
    <t>2025-02-05</t>
  </si>
  <si>
    <t>CUST003</t>
  </si>
  <si>
    <t>2024-12-29</t>
  </si>
  <si>
    <t>John Brown</t>
  </si>
  <si>
    <t>2024-12-08</t>
  </si>
  <si>
    <t>2024-11-12</t>
  </si>
  <si>
    <t>2024-08-15</t>
  </si>
  <si>
    <t>Emma Wilson</t>
  </si>
  <si>
    <t>2024-05-18</t>
  </si>
  <si>
    <t>2024-05-27</t>
  </si>
  <si>
    <t>2024-05-10</t>
  </si>
  <si>
    <t>2024-06-28</t>
  </si>
  <si>
    <t>CUST007</t>
  </si>
  <si>
    <t>2024-05-05</t>
  </si>
  <si>
    <t>CUST017</t>
  </si>
  <si>
    <t>2024-05-15</t>
  </si>
  <si>
    <t>2025-01-31</t>
  </si>
  <si>
    <t>2024-07-23</t>
  </si>
  <si>
    <t>CUST011</t>
  </si>
  <si>
    <t>2024-09-18</t>
  </si>
  <si>
    <t>2024-05-17</t>
  </si>
  <si>
    <t>David Thomas</t>
  </si>
  <si>
    <t>2024-09-02</t>
  </si>
  <si>
    <t>2025-03-17</t>
  </si>
  <si>
    <t>CUST010</t>
  </si>
  <si>
    <t>2024-12-16</t>
  </si>
  <si>
    <t>2024-09-27</t>
  </si>
  <si>
    <t>2024-04-14</t>
  </si>
  <si>
    <t>Mary Davis</t>
  </si>
  <si>
    <t>2024-06-24</t>
  </si>
  <si>
    <t>Emma Davis</t>
  </si>
  <si>
    <t>2024-07-09</t>
  </si>
  <si>
    <t>2024-06-30</t>
  </si>
  <si>
    <t>2024-09-13</t>
  </si>
  <si>
    <t>2024-04-24</t>
  </si>
  <si>
    <t>CUST009</t>
  </si>
  <si>
    <t>2024-09-17</t>
  </si>
  <si>
    <t>2024-04-10</t>
  </si>
  <si>
    <t>CUST026</t>
  </si>
  <si>
    <t>2024-09-08</t>
  </si>
  <si>
    <t>2025-01-15</t>
  </si>
  <si>
    <t>2024-11-22</t>
  </si>
  <si>
    <t>2025-03-15</t>
  </si>
  <si>
    <t>2024-04-22</t>
  </si>
  <si>
    <t>David Anderson</t>
  </si>
  <si>
    <t>2024-10-23</t>
  </si>
  <si>
    <t>2024-12-31</t>
  </si>
  <si>
    <t>2025-01-21</t>
  </si>
  <si>
    <t>2024-12-14</t>
  </si>
  <si>
    <t>2024-11-04</t>
  </si>
  <si>
    <t>2024-04-20</t>
  </si>
  <si>
    <t>2024-10-26</t>
  </si>
  <si>
    <t>2024-07-31</t>
  </si>
  <si>
    <t>2024-12-05</t>
  </si>
  <si>
    <t>2025-03-05</t>
  </si>
  <si>
    <t>2024-11-28</t>
  </si>
  <si>
    <t>2024-04-19</t>
  </si>
  <si>
    <t>2024-08-14</t>
  </si>
  <si>
    <t>2024-07-30</t>
  </si>
  <si>
    <t>2024-09-16</t>
  </si>
  <si>
    <t>2025-02-07</t>
  </si>
  <si>
    <t>2024-05-01</t>
  </si>
  <si>
    <t>CUST014</t>
  </si>
  <si>
    <t>CUST012</t>
  </si>
  <si>
    <t>2025-02-19</t>
  </si>
  <si>
    <t>2024-09-22</t>
  </si>
  <si>
    <t>2025-02-16</t>
  </si>
  <si>
    <t>2024-08-20</t>
  </si>
  <si>
    <t>2024-08-11</t>
  </si>
  <si>
    <t>2024-04-18</t>
  </si>
  <si>
    <t>2025-01-18</t>
  </si>
  <si>
    <t>2024-07-29</t>
  </si>
  <si>
    <t>CUST006</t>
  </si>
  <si>
    <t>2024-11-21</t>
  </si>
  <si>
    <t>2024-10-21</t>
  </si>
  <si>
    <t>2024-05-30</t>
  </si>
  <si>
    <t>2024-09-01</t>
  </si>
  <si>
    <t>2024-11-13</t>
  </si>
  <si>
    <t>2025-02-08</t>
  </si>
  <si>
    <t>2024-08-27</t>
  </si>
  <si>
    <t>2025-02-13</t>
  </si>
  <si>
    <t>2024-04-30</t>
  </si>
  <si>
    <t>2024-11-19</t>
  </si>
  <si>
    <t>2024-07-01</t>
  </si>
  <si>
    <t>2024-12-02</t>
  </si>
  <si>
    <t>2024-06-09</t>
  </si>
  <si>
    <t>2024-12-07</t>
  </si>
  <si>
    <t>2024-09-09</t>
  </si>
  <si>
    <t>2025-01-17</t>
  </si>
  <si>
    <t>CUST013</t>
  </si>
  <si>
    <t>2024-05-31</t>
  </si>
  <si>
    <t>2025-03-11</t>
  </si>
  <si>
    <t>2024-09-25</t>
  </si>
  <si>
    <t>2024-04-28</t>
  </si>
  <si>
    <t>2024-11-23</t>
  </si>
  <si>
    <t>2024-10-18</t>
  </si>
  <si>
    <t>2024-07-08</t>
  </si>
  <si>
    <t>2024-08-06</t>
  </si>
  <si>
    <t>2024-11-29</t>
  </si>
  <si>
    <t>2025-01-29</t>
  </si>
  <si>
    <t>2025-02-14</t>
  </si>
  <si>
    <t>2025-02-21</t>
  </si>
  <si>
    <t>2024-06-16</t>
  </si>
  <si>
    <t>2024-12-12</t>
  </si>
  <si>
    <t>2025-03-21</t>
  </si>
  <si>
    <t>2025-03-01</t>
  </si>
  <si>
    <t>2024-12-18</t>
  </si>
  <si>
    <t>2025-02-04</t>
  </si>
  <si>
    <t>2024-10-16</t>
  </si>
  <si>
    <t>2025-03-06</t>
  </si>
  <si>
    <t>2025-01-24</t>
  </si>
  <si>
    <t>2024-11-25</t>
  </si>
  <si>
    <t>2024-09-11</t>
  </si>
  <si>
    <t>2025-02-28</t>
  </si>
  <si>
    <t>2024-09-30</t>
  </si>
  <si>
    <t>2024-06-27</t>
  </si>
  <si>
    <t>2024-06-15</t>
  </si>
  <si>
    <t>2025-03-16</t>
  </si>
  <si>
    <t>2024-12-25</t>
  </si>
  <si>
    <t>2024-06-07</t>
  </si>
  <si>
    <t>2024-10-06</t>
  </si>
  <si>
    <t>2025-02-09</t>
  </si>
  <si>
    <t>2024-10-03</t>
  </si>
  <si>
    <t>2024-10-29</t>
  </si>
  <si>
    <t>2024-09-05</t>
  </si>
  <si>
    <t>2024-12-22</t>
  </si>
  <si>
    <t>2024-07-18</t>
  </si>
  <si>
    <t>2024-07-07</t>
  </si>
  <si>
    <t>2024-09-15</t>
  </si>
  <si>
    <t>2024-09-21</t>
  </si>
  <si>
    <t>2024-12-24</t>
  </si>
  <si>
    <t>2024-10-17</t>
  </si>
  <si>
    <t>2024-05-21</t>
  </si>
  <si>
    <t>2024-10-12</t>
  </si>
  <si>
    <t>2024-08-03</t>
  </si>
  <si>
    <t>2024-04-29</t>
  </si>
  <si>
    <t>2025-02-23</t>
  </si>
  <si>
    <t>2024-10-15</t>
  </si>
  <si>
    <t>2024-11-10</t>
  </si>
  <si>
    <t>2024-11-26</t>
  </si>
  <si>
    <t>2024-11-08</t>
  </si>
  <si>
    <t>2024-12-06</t>
  </si>
  <si>
    <t xml:space="preserve">Analysis </t>
  </si>
  <si>
    <t>Total Sales</t>
  </si>
  <si>
    <t>Total Profit</t>
  </si>
  <si>
    <t>Average Sales</t>
  </si>
  <si>
    <t>Total Orders</t>
  </si>
  <si>
    <t>What-If Analysis</t>
  </si>
  <si>
    <t>Current Discount</t>
  </si>
  <si>
    <t>Projected Sales Increase</t>
  </si>
  <si>
    <t>High Value Customer</t>
  </si>
  <si>
    <t>Regression Insight</t>
  </si>
  <si>
    <t>Profit increases with Sales</t>
  </si>
  <si>
    <t>Max Sales</t>
  </si>
  <si>
    <t>Min Sales</t>
  </si>
  <si>
    <t>Average Profit</t>
  </si>
  <si>
    <t>Std Dev Sales</t>
  </si>
  <si>
    <t>Sales by Region</t>
  </si>
  <si>
    <t>Category</t>
  </si>
  <si>
    <t>Month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</si>
  <si>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</si>
  <si>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</si>
  <si>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</si>
  <si>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</si>
  <si>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</si>
  <si>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</si>
  <si>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</si>
  <si>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</si>
  <si>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</si>
  <si>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</si>
  <si>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</si>
  <si>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</si>
  <si>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Sales Dashboard</t>
  </si>
  <si>
    <t>Top Customer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</si>
</sst>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8"/>
      <name val="Calibri"/>
      <charset val="134"/>
      <scheme val="minor"/>
    </font>
    <font>
      <b/>
      <sz val="1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Regional Sales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Pivot_Report!$B$1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Pivot_Report!$A$2:$A$6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Pivot_Report!$B$2:$B$6</c:f>
              <c:numCache>
                <c:formatCode>General</c:formatCode>
                <c:ptCount val="5"/>
                <c:pt idx="0">
                  <c:v>39725.97</c:v>
                </c:pt>
                <c:pt idx="1">
                  <c:v>45152.09</c:v>
                </c:pt>
                <c:pt idx="2">
                  <c:v>40439.35</c:v>
                </c:pt>
                <c:pt idx="3">
                  <c:v>31362.94</c:v>
                </c:pt>
                <c:pt idx="4">
                  <c:v>32060.58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545d74-91d4-4711-a45b-bcc726a2ace2}"/>
      </c:ext>
    </c:extLst>
  </c:chart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Sales Trend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Pivot_Report!$B$10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Pivot_Report!$A$11:$A$22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Pivot_Report!$B$11:$B$22</c:f>
              <c:numCache>
                <c:formatCode>General</c:formatCode>
                <c:ptCount val="12"/>
                <c:pt idx="0">
                  <c:v>12172</c:v>
                </c:pt>
                <c:pt idx="1">
                  <c:v>14596</c:v>
                </c:pt>
                <c:pt idx="2">
                  <c:v>12622</c:v>
                </c:pt>
                <c:pt idx="3">
                  <c:v>20386</c:v>
                </c:pt>
                <c:pt idx="4">
                  <c:v>19066</c:v>
                </c:pt>
                <c:pt idx="5">
                  <c:v>16899</c:v>
                </c:pt>
                <c:pt idx="6">
                  <c:v>29983</c:v>
                </c:pt>
                <c:pt idx="7">
                  <c:v>29294</c:v>
                </c:pt>
                <c:pt idx="8">
                  <c:v>25869</c:v>
                </c:pt>
                <c:pt idx="9">
                  <c:v>15643</c:v>
                </c:pt>
                <c:pt idx="10">
                  <c:v>21440</c:v>
                </c:pt>
                <c:pt idx="11">
                  <c:v>19786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aa15a1-3fcb-450f-a7af-32bf620c61ea}"/>
      </c:ext>
    </c:extLst>
  </c:chart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Category Share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Pivot_Report!$I$2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Pt>
            <c:idx val="4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Pivot_Report!$H$3:$H$7</c:f>
              <c:strCache>
                <c:ptCount val="5"/>
                <c:pt idx="0">
                  <c:v>Books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Clothing</c:v>
                </c:pt>
              </c:strCache>
            </c:strRef>
          </c:cat>
          <c:val>
            <c:numRef>
              <c:f>Pivot_Report!$I$3:$I$7</c:f>
              <c:numCache>
                <c:formatCode>General</c:formatCode>
                <c:ptCount val="5"/>
                <c:pt idx="0">
                  <c:v>24868</c:v>
                </c:pt>
                <c:pt idx="1">
                  <c:v>18992</c:v>
                </c:pt>
                <c:pt idx="2">
                  <c:v>16564</c:v>
                </c:pt>
                <c:pt idx="3">
                  <c:v>22813</c:v>
                </c:pt>
                <c:pt idx="4">
                  <c:v>28756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e7a5d5-3a36-403e-9181-3452d3938c81}"/>
      </c:ext>
    </c:extLst>
  </c:chart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1</xdr:row>
      <xdr:rowOff>0</xdr:rowOff>
    </xdr:from>
    <xdr:ext cx="5400000" cy="2611100"/>
    <xdr:graphicFrame>
      <xdr:nvGraphicFramePr>
        <xdr:cNvPr id="2" name="Chart 1"/>
        <xdr:cNvGraphicFramePr/>
      </xdr:nvGraphicFramePr>
      <xdr:xfrm>
        <a:off x="3981450" y="184150"/>
        <a:ext cx="5399405" cy="2610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5400000" cy="2611100"/>
    <xdr:graphicFrame>
      <xdr:nvGraphicFramePr>
        <xdr:cNvPr id="3" name="Chart 2"/>
        <xdr:cNvGraphicFramePr/>
      </xdr:nvGraphicFramePr>
      <xdr:xfrm>
        <a:off x="3981450" y="3498850"/>
        <a:ext cx="5399405" cy="2610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279400</xdr:colOff>
      <xdr:row>1</xdr:row>
      <xdr:rowOff>25400</xdr:rowOff>
    </xdr:from>
    <xdr:ext cx="5400000" cy="2611100"/>
    <xdr:graphicFrame>
      <xdr:nvGraphicFramePr>
        <xdr:cNvPr id="4" name="Chart 3"/>
        <xdr:cNvGraphicFramePr/>
      </xdr:nvGraphicFramePr>
      <xdr:xfrm>
        <a:off x="9709150" y="209550"/>
        <a:ext cx="5399405" cy="2610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SalesData" displayName="SalesData" ref="A1:J191">
  <autoFilter xmlns:etc="http://www.wps.cn/officeDocument/2017/etCustomData" ref="A1:J191" etc:filterBottomFollowUsedRange="0"/>
  <tableColumns count="10">
    <tableColumn id="1" name="Customer_ID"/>
    <tableColumn id="2" name="Customer_Name"/>
    <tableColumn id="3" name="Region"/>
    <tableColumn id="4" name="Product_Category"/>
    <tableColumn id="5" name="Sales"/>
    <tableColumn id="6" name="Quantity"/>
    <tableColumn id="7" name="Discount"/>
    <tableColumn id="8" name="Order_Date"/>
    <tableColumn id="9" name="Profit"/>
    <tableColumn id="10" name="Timestam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1"/>
  <sheetViews>
    <sheetView tabSelected="1" workbookViewId="0">
      <selection activeCell="A1" sqref="A1"/>
    </sheetView>
  </sheetViews>
  <sheetFormatPr defaultColWidth="9" defaultRowHeight="14.5"/>
  <cols>
    <col min="1" max="1" width="15" customWidth="1"/>
    <col min="2" max="2" width="20" customWidth="1"/>
    <col min="3" max="3" width="11" customWidth="1"/>
    <col min="4" max="4" width="20" customWidth="1"/>
    <col min="5" max="5" width="11" customWidth="1"/>
    <col min="6" max="7" width="12" customWidth="1"/>
    <col min="8" max="8" width="14" customWidth="1"/>
    <col min="9" max="9" width="10" customWidth="1"/>
    <col min="10" max="10" width="23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605.09</v>
      </c>
      <c r="F2">
        <v>5</v>
      </c>
      <c r="G2">
        <v>0</v>
      </c>
      <c r="H2" t="s">
        <v>14</v>
      </c>
      <c r="I2">
        <v>207.06</v>
      </c>
      <c r="J2" t="s">
        <v>15</v>
      </c>
    </row>
    <row r="3" spans="1:10">
      <c r="A3" t="s">
        <v>16</v>
      </c>
      <c r="B3" t="s">
        <v>17</v>
      </c>
      <c r="C3" t="s">
        <v>18</v>
      </c>
      <c r="D3" t="s">
        <v>19</v>
      </c>
      <c r="E3">
        <v>296.08</v>
      </c>
      <c r="F3">
        <v>3</v>
      </c>
      <c r="G3">
        <v>0.05</v>
      </c>
      <c r="H3" t="s">
        <v>20</v>
      </c>
      <c r="I3">
        <v>80.42</v>
      </c>
      <c r="J3" t="s">
        <v>15</v>
      </c>
    </row>
    <row r="4" spans="1:10">
      <c r="A4" t="s">
        <v>21</v>
      </c>
      <c r="B4" t="s">
        <v>22</v>
      </c>
      <c r="C4" t="s">
        <v>23</v>
      </c>
      <c r="D4" t="s">
        <v>24</v>
      </c>
      <c r="E4">
        <v>858.3</v>
      </c>
      <c r="F4">
        <v>15</v>
      </c>
      <c r="G4">
        <v>0.2</v>
      </c>
      <c r="H4" t="s">
        <v>25</v>
      </c>
      <c r="I4">
        <v>311.42</v>
      </c>
      <c r="J4" t="s">
        <v>15</v>
      </c>
    </row>
    <row r="5" spans="1:10">
      <c r="A5" t="s">
        <v>21</v>
      </c>
      <c r="B5" t="s">
        <v>26</v>
      </c>
      <c r="C5" t="s">
        <v>27</v>
      </c>
      <c r="D5" t="s">
        <v>13</v>
      </c>
      <c r="E5">
        <v>652.91</v>
      </c>
      <c r="F5">
        <v>7</v>
      </c>
      <c r="G5">
        <v>0.1</v>
      </c>
      <c r="H5" t="s">
        <v>28</v>
      </c>
      <c r="I5">
        <v>96.52</v>
      </c>
      <c r="J5" t="s">
        <v>15</v>
      </c>
    </row>
    <row r="6" spans="1:10">
      <c r="A6" t="s">
        <v>29</v>
      </c>
      <c r="B6" t="s">
        <v>30</v>
      </c>
      <c r="C6" t="s">
        <v>31</v>
      </c>
      <c r="D6" t="s">
        <v>24</v>
      </c>
      <c r="E6">
        <v>633.56</v>
      </c>
      <c r="F6">
        <v>2</v>
      </c>
      <c r="G6">
        <v>0.15</v>
      </c>
      <c r="H6" t="s">
        <v>32</v>
      </c>
      <c r="I6">
        <v>99.75</v>
      </c>
      <c r="J6" t="s">
        <v>15</v>
      </c>
    </row>
    <row r="7" spans="1:10">
      <c r="A7" t="s">
        <v>33</v>
      </c>
      <c r="B7" t="s">
        <v>34</v>
      </c>
      <c r="C7" t="s">
        <v>12</v>
      </c>
      <c r="D7" t="s">
        <v>24</v>
      </c>
      <c r="E7">
        <v>675.11</v>
      </c>
      <c r="F7">
        <v>12</v>
      </c>
      <c r="G7">
        <v>0.2</v>
      </c>
      <c r="H7" t="s">
        <v>35</v>
      </c>
      <c r="I7">
        <v>223.71</v>
      </c>
      <c r="J7" t="s">
        <v>15</v>
      </c>
    </row>
    <row r="8" spans="1:10">
      <c r="A8" t="s">
        <v>36</v>
      </c>
      <c r="B8" t="s">
        <v>37</v>
      </c>
      <c r="C8" t="s">
        <v>31</v>
      </c>
      <c r="D8" t="s">
        <v>38</v>
      </c>
      <c r="E8">
        <v>1490.21</v>
      </c>
      <c r="F8">
        <v>4</v>
      </c>
      <c r="G8">
        <v>0.15</v>
      </c>
      <c r="H8" t="s">
        <v>25</v>
      </c>
      <c r="I8">
        <v>381.53</v>
      </c>
      <c r="J8" t="s">
        <v>15</v>
      </c>
    </row>
    <row r="9" spans="1:10">
      <c r="A9" t="s">
        <v>39</v>
      </c>
      <c r="B9" t="s">
        <v>30</v>
      </c>
      <c r="C9" t="s">
        <v>23</v>
      </c>
      <c r="D9" t="s">
        <v>13</v>
      </c>
      <c r="E9">
        <v>765.14</v>
      </c>
      <c r="F9">
        <v>9</v>
      </c>
      <c r="G9">
        <v>0</v>
      </c>
      <c r="H9" t="s">
        <v>40</v>
      </c>
      <c r="I9">
        <v>237.57</v>
      </c>
      <c r="J9" t="s">
        <v>15</v>
      </c>
    </row>
    <row r="10" spans="1:10">
      <c r="A10" t="s">
        <v>16</v>
      </c>
      <c r="B10" t="s">
        <v>37</v>
      </c>
      <c r="C10" t="s">
        <v>23</v>
      </c>
      <c r="D10" t="s">
        <v>19</v>
      </c>
      <c r="E10">
        <v>800.21</v>
      </c>
      <c r="F10">
        <v>18</v>
      </c>
      <c r="G10">
        <v>0.05</v>
      </c>
      <c r="H10" t="s">
        <v>41</v>
      </c>
      <c r="I10">
        <v>173.87</v>
      </c>
      <c r="J10" t="s">
        <v>15</v>
      </c>
    </row>
    <row r="11" spans="1:10">
      <c r="A11" t="s">
        <v>42</v>
      </c>
      <c r="B11" t="s">
        <v>43</v>
      </c>
      <c r="C11" t="s">
        <v>23</v>
      </c>
      <c r="D11" t="s">
        <v>38</v>
      </c>
      <c r="E11">
        <v>1417.32</v>
      </c>
      <c r="F11">
        <v>13</v>
      </c>
      <c r="G11">
        <v>0.1</v>
      </c>
      <c r="H11" t="s">
        <v>44</v>
      </c>
      <c r="I11">
        <v>259.79</v>
      </c>
      <c r="J11" t="s">
        <v>15</v>
      </c>
    </row>
    <row r="12" spans="1:10">
      <c r="A12" t="s">
        <v>45</v>
      </c>
      <c r="B12" t="s">
        <v>46</v>
      </c>
      <c r="C12" t="s">
        <v>23</v>
      </c>
      <c r="D12" t="s">
        <v>19</v>
      </c>
      <c r="E12">
        <v>823.67</v>
      </c>
      <c r="F12">
        <v>15</v>
      </c>
      <c r="G12">
        <v>0.05</v>
      </c>
      <c r="H12" t="s">
        <v>47</v>
      </c>
      <c r="I12">
        <v>133.34</v>
      </c>
      <c r="J12" t="s">
        <v>15</v>
      </c>
    </row>
    <row r="13" spans="1:10">
      <c r="A13" t="s">
        <v>48</v>
      </c>
      <c r="B13" t="s">
        <v>22</v>
      </c>
      <c r="C13" t="s">
        <v>18</v>
      </c>
      <c r="D13" t="s">
        <v>13</v>
      </c>
      <c r="E13">
        <v>1333.17</v>
      </c>
      <c r="F13">
        <v>14</v>
      </c>
      <c r="G13">
        <v>0.2</v>
      </c>
      <c r="H13" t="s">
        <v>49</v>
      </c>
      <c r="I13">
        <v>304.76</v>
      </c>
      <c r="J13" t="s">
        <v>15</v>
      </c>
    </row>
    <row r="14" spans="1:10">
      <c r="A14" t="s">
        <v>50</v>
      </c>
      <c r="B14" t="s">
        <v>51</v>
      </c>
      <c r="C14" t="s">
        <v>27</v>
      </c>
      <c r="D14" t="s">
        <v>38</v>
      </c>
      <c r="E14">
        <v>1345.88</v>
      </c>
      <c r="F14">
        <v>4</v>
      </c>
      <c r="G14">
        <v>0.05</v>
      </c>
      <c r="H14" t="s">
        <v>52</v>
      </c>
      <c r="I14">
        <v>226.1</v>
      </c>
      <c r="J14" t="s">
        <v>15</v>
      </c>
    </row>
    <row r="15" spans="1:10">
      <c r="A15" t="s">
        <v>53</v>
      </c>
      <c r="B15" t="s">
        <v>54</v>
      </c>
      <c r="C15" t="s">
        <v>18</v>
      </c>
      <c r="D15" t="s">
        <v>38</v>
      </c>
      <c r="E15">
        <v>807.91</v>
      </c>
      <c r="F15">
        <v>15</v>
      </c>
      <c r="G15">
        <v>0.2</v>
      </c>
      <c r="H15" t="s">
        <v>55</v>
      </c>
      <c r="I15">
        <v>332.31</v>
      </c>
      <c r="J15" t="s">
        <v>15</v>
      </c>
    </row>
    <row r="16" spans="1:10">
      <c r="A16" t="s">
        <v>56</v>
      </c>
      <c r="B16" t="s">
        <v>57</v>
      </c>
      <c r="C16" t="s">
        <v>12</v>
      </c>
      <c r="D16" t="s">
        <v>24</v>
      </c>
      <c r="E16">
        <v>1338.77</v>
      </c>
      <c r="F16">
        <v>11</v>
      </c>
      <c r="G16">
        <v>0</v>
      </c>
      <c r="H16" t="s">
        <v>58</v>
      </c>
      <c r="I16">
        <v>335.27</v>
      </c>
      <c r="J16" t="s">
        <v>15</v>
      </c>
    </row>
    <row r="17" spans="1:10">
      <c r="A17" t="s">
        <v>59</v>
      </c>
      <c r="B17" t="s">
        <v>57</v>
      </c>
      <c r="C17" t="s">
        <v>31</v>
      </c>
      <c r="D17" t="s">
        <v>24</v>
      </c>
      <c r="E17">
        <v>1354.85</v>
      </c>
      <c r="F17">
        <v>17</v>
      </c>
      <c r="G17">
        <v>0</v>
      </c>
      <c r="H17" t="s">
        <v>60</v>
      </c>
      <c r="I17">
        <v>283.89</v>
      </c>
      <c r="J17" t="s">
        <v>15</v>
      </c>
    </row>
    <row r="18" spans="1:10">
      <c r="A18" t="s">
        <v>10</v>
      </c>
      <c r="B18" t="s">
        <v>51</v>
      </c>
      <c r="C18" t="s">
        <v>18</v>
      </c>
      <c r="D18" t="s">
        <v>61</v>
      </c>
      <c r="E18">
        <v>471.62</v>
      </c>
      <c r="F18">
        <v>6</v>
      </c>
      <c r="G18">
        <v>0.2</v>
      </c>
      <c r="H18" t="s">
        <v>62</v>
      </c>
      <c r="I18">
        <v>186.55</v>
      </c>
      <c r="J18" t="s">
        <v>15</v>
      </c>
    </row>
    <row r="19" spans="1:10">
      <c r="A19" t="s">
        <v>63</v>
      </c>
      <c r="B19" t="s">
        <v>46</v>
      </c>
      <c r="C19" t="s">
        <v>27</v>
      </c>
      <c r="D19" t="s">
        <v>38</v>
      </c>
      <c r="E19">
        <v>412.21</v>
      </c>
      <c r="F19">
        <v>12</v>
      </c>
      <c r="G19">
        <v>0.1</v>
      </c>
      <c r="H19" t="s">
        <v>64</v>
      </c>
      <c r="I19">
        <v>56.63</v>
      </c>
      <c r="J19" t="s">
        <v>15</v>
      </c>
    </row>
    <row r="20" spans="1:10">
      <c r="A20" t="s">
        <v>65</v>
      </c>
      <c r="B20" t="s">
        <v>66</v>
      </c>
      <c r="C20" t="s">
        <v>12</v>
      </c>
      <c r="D20" t="s">
        <v>38</v>
      </c>
      <c r="E20">
        <v>1311.27</v>
      </c>
      <c r="F20">
        <v>3</v>
      </c>
      <c r="G20">
        <v>0.2</v>
      </c>
      <c r="H20" t="s">
        <v>67</v>
      </c>
      <c r="I20">
        <v>207.86</v>
      </c>
      <c r="J20" t="s">
        <v>15</v>
      </c>
    </row>
    <row r="21" spans="1:10">
      <c r="A21" t="s">
        <v>68</v>
      </c>
      <c r="B21" t="s">
        <v>22</v>
      </c>
      <c r="C21" t="s">
        <v>23</v>
      </c>
      <c r="D21" t="s">
        <v>13</v>
      </c>
      <c r="E21">
        <v>1015.13</v>
      </c>
      <c r="F21">
        <v>14</v>
      </c>
      <c r="G21">
        <v>0.05</v>
      </c>
      <c r="H21" t="s">
        <v>69</v>
      </c>
      <c r="I21">
        <v>351.82</v>
      </c>
      <c r="J21" t="s">
        <v>15</v>
      </c>
    </row>
    <row r="22" spans="1:10">
      <c r="A22" t="s">
        <v>70</v>
      </c>
      <c r="B22" t="s">
        <v>71</v>
      </c>
      <c r="C22" t="s">
        <v>31</v>
      </c>
      <c r="D22" t="s">
        <v>19</v>
      </c>
      <c r="E22">
        <v>1692.97</v>
      </c>
      <c r="F22">
        <v>12</v>
      </c>
      <c r="G22">
        <v>0.15</v>
      </c>
      <c r="H22" t="s">
        <v>72</v>
      </c>
      <c r="I22">
        <v>432.46</v>
      </c>
      <c r="J22" t="s">
        <v>15</v>
      </c>
    </row>
    <row r="23" spans="1:10">
      <c r="A23" t="s">
        <v>73</v>
      </c>
      <c r="B23" t="s">
        <v>37</v>
      </c>
      <c r="C23" t="s">
        <v>12</v>
      </c>
      <c r="D23" t="s">
        <v>13</v>
      </c>
      <c r="E23">
        <v>280.5</v>
      </c>
      <c r="F23">
        <v>18</v>
      </c>
      <c r="G23">
        <v>0.05</v>
      </c>
      <c r="H23" t="s">
        <v>74</v>
      </c>
      <c r="I23">
        <v>52.19</v>
      </c>
      <c r="J23" t="s">
        <v>15</v>
      </c>
    </row>
    <row r="24" spans="1:10">
      <c r="A24" t="s">
        <v>75</v>
      </c>
      <c r="B24" t="s">
        <v>43</v>
      </c>
      <c r="C24" t="s">
        <v>23</v>
      </c>
      <c r="D24" t="s">
        <v>38</v>
      </c>
      <c r="E24">
        <v>1562.86</v>
      </c>
      <c r="F24">
        <v>11</v>
      </c>
      <c r="G24">
        <v>0</v>
      </c>
      <c r="H24" t="s">
        <v>76</v>
      </c>
      <c r="I24">
        <v>299.13</v>
      </c>
      <c r="J24" t="s">
        <v>15</v>
      </c>
    </row>
    <row r="25" spans="1:10">
      <c r="A25" t="s">
        <v>53</v>
      </c>
      <c r="B25" t="s">
        <v>77</v>
      </c>
      <c r="C25" t="s">
        <v>23</v>
      </c>
      <c r="D25" t="s">
        <v>24</v>
      </c>
      <c r="E25">
        <v>441.85</v>
      </c>
      <c r="F25">
        <v>19</v>
      </c>
      <c r="G25">
        <v>0.2</v>
      </c>
      <c r="H25" t="s">
        <v>78</v>
      </c>
      <c r="I25">
        <v>85.23</v>
      </c>
      <c r="J25" t="s">
        <v>15</v>
      </c>
    </row>
    <row r="26" spans="1:10">
      <c r="A26" t="s">
        <v>68</v>
      </c>
      <c r="B26" t="s">
        <v>54</v>
      </c>
      <c r="C26" t="s">
        <v>23</v>
      </c>
      <c r="D26" t="s">
        <v>38</v>
      </c>
      <c r="E26">
        <v>390.55</v>
      </c>
      <c r="F26">
        <v>14</v>
      </c>
      <c r="G26">
        <v>0.1</v>
      </c>
      <c r="H26" t="s">
        <v>79</v>
      </c>
      <c r="I26">
        <v>95.03</v>
      </c>
      <c r="J26" t="s">
        <v>15</v>
      </c>
    </row>
    <row r="27" spans="1:10">
      <c r="A27" t="s">
        <v>56</v>
      </c>
      <c r="B27" t="s">
        <v>43</v>
      </c>
      <c r="C27" t="s">
        <v>12</v>
      </c>
      <c r="D27" t="s">
        <v>38</v>
      </c>
      <c r="E27">
        <v>833.8</v>
      </c>
      <c r="F27">
        <v>11</v>
      </c>
      <c r="G27">
        <v>0</v>
      </c>
      <c r="H27" t="s">
        <v>80</v>
      </c>
      <c r="I27">
        <v>147.98</v>
      </c>
      <c r="J27" t="s">
        <v>15</v>
      </c>
    </row>
    <row r="28" spans="1:10">
      <c r="A28" t="s">
        <v>16</v>
      </c>
      <c r="B28" t="s">
        <v>81</v>
      </c>
      <c r="C28" t="s">
        <v>23</v>
      </c>
      <c r="D28" t="s">
        <v>19</v>
      </c>
      <c r="E28">
        <v>516.06</v>
      </c>
      <c r="F28">
        <v>15</v>
      </c>
      <c r="G28">
        <v>0.05</v>
      </c>
      <c r="H28" t="s">
        <v>82</v>
      </c>
      <c r="I28">
        <v>130.53</v>
      </c>
      <c r="J28" t="s">
        <v>15</v>
      </c>
    </row>
    <row r="29" spans="1:10">
      <c r="A29" t="s">
        <v>56</v>
      </c>
      <c r="B29" t="s">
        <v>22</v>
      </c>
      <c r="C29" t="s">
        <v>12</v>
      </c>
      <c r="D29" t="s">
        <v>38</v>
      </c>
      <c r="E29">
        <v>1195.61</v>
      </c>
      <c r="F29">
        <v>18</v>
      </c>
      <c r="G29">
        <v>0</v>
      </c>
      <c r="H29" t="s">
        <v>83</v>
      </c>
      <c r="I29">
        <v>475.75</v>
      </c>
      <c r="J29" t="s">
        <v>15</v>
      </c>
    </row>
    <row r="30" spans="1:10">
      <c r="A30" t="s">
        <v>56</v>
      </c>
      <c r="B30" t="s">
        <v>37</v>
      </c>
      <c r="C30" t="s">
        <v>23</v>
      </c>
      <c r="D30" t="s">
        <v>19</v>
      </c>
      <c r="E30">
        <v>954.18</v>
      </c>
      <c r="F30">
        <v>7</v>
      </c>
      <c r="G30">
        <v>0.15</v>
      </c>
      <c r="H30" t="s">
        <v>84</v>
      </c>
      <c r="I30">
        <v>161.63</v>
      </c>
      <c r="J30" t="s">
        <v>15</v>
      </c>
    </row>
    <row r="31" spans="1:10">
      <c r="A31" t="s">
        <v>21</v>
      </c>
      <c r="B31" t="s">
        <v>34</v>
      </c>
      <c r="C31" t="s">
        <v>31</v>
      </c>
      <c r="D31" t="s">
        <v>19</v>
      </c>
      <c r="E31">
        <v>663.61</v>
      </c>
      <c r="F31">
        <v>18</v>
      </c>
      <c r="G31">
        <v>0.15</v>
      </c>
      <c r="H31" t="s">
        <v>85</v>
      </c>
      <c r="I31">
        <v>117.44</v>
      </c>
      <c r="J31" t="s">
        <v>15</v>
      </c>
    </row>
    <row r="32" spans="1:10">
      <c r="A32" t="s">
        <v>86</v>
      </c>
      <c r="B32" t="s">
        <v>43</v>
      </c>
      <c r="C32" t="s">
        <v>18</v>
      </c>
      <c r="D32" t="s">
        <v>24</v>
      </c>
      <c r="E32">
        <v>338.39</v>
      </c>
      <c r="F32">
        <v>11</v>
      </c>
      <c r="G32">
        <v>0</v>
      </c>
      <c r="H32" t="s">
        <v>87</v>
      </c>
      <c r="I32">
        <v>99.91</v>
      </c>
      <c r="J32" t="s">
        <v>15</v>
      </c>
    </row>
    <row r="33" spans="1:10">
      <c r="A33" t="s">
        <v>88</v>
      </c>
      <c r="B33" t="s">
        <v>51</v>
      </c>
      <c r="C33" t="s">
        <v>23</v>
      </c>
      <c r="D33" t="s">
        <v>38</v>
      </c>
      <c r="E33">
        <v>1643.13</v>
      </c>
      <c r="F33">
        <v>3</v>
      </c>
      <c r="G33">
        <v>0.05</v>
      </c>
      <c r="H33" t="s">
        <v>89</v>
      </c>
      <c r="I33">
        <v>490.49</v>
      </c>
      <c r="J33" t="s">
        <v>15</v>
      </c>
    </row>
    <row r="34" spans="1:10">
      <c r="A34" t="s">
        <v>53</v>
      </c>
      <c r="B34" t="s">
        <v>37</v>
      </c>
      <c r="C34" t="s">
        <v>27</v>
      </c>
      <c r="D34" t="s">
        <v>38</v>
      </c>
      <c r="E34">
        <v>1615.31</v>
      </c>
      <c r="F34">
        <v>19</v>
      </c>
      <c r="G34">
        <v>0.05</v>
      </c>
      <c r="H34" t="s">
        <v>90</v>
      </c>
      <c r="I34">
        <v>481.94</v>
      </c>
      <c r="J34" t="s">
        <v>15</v>
      </c>
    </row>
    <row r="35" spans="1:10">
      <c r="A35" t="s">
        <v>63</v>
      </c>
      <c r="B35" t="s">
        <v>17</v>
      </c>
      <c r="C35" t="s">
        <v>27</v>
      </c>
      <c r="D35" t="s">
        <v>24</v>
      </c>
      <c r="E35">
        <v>1069.58</v>
      </c>
      <c r="F35">
        <v>11</v>
      </c>
      <c r="G35">
        <v>0.1</v>
      </c>
      <c r="H35" t="s">
        <v>91</v>
      </c>
      <c r="I35">
        <v>343.25</v>
      </c>
      <c r="J35" t="s">
        <v>15</v>
      </c>
    </row>
    <row r="36" spans="1:10">
      <c r="A36" t="s">
        <v>92</v>
      </c>
      <c r="B36" t="s">
        <v>37</v>
      </c>
      <c r="C36" t="s">
        <v>31</v>
      </c>
      <c r="D36" t="s">
        <v>19</v>
      </c>
      <c r="E36">
        <v>439.77</v>
      </c>
      <c r="F36">
        <v>10</v>
      </c>
      <c r="G36">
        <v>0.15</v>
      </c>
      <c r="H36" t="s">
        <v>93</v>
      </c>
      <c r="I36">
        <v>175.34</v>
      </c>
      <c r="J36" t="s">
        <v>15</v>
      </c>
    </row>
    <row r="37" spans="1:10">
      <c r="A37" t="s">
        <v>33</v>
      </c>
      <c r="B37" t="s">
        <v>17</v>
      </c>
      <c r="C37" t="s">
        <v>12</v>
      </c>
      <c r="D37" t="s">
        <v>19</v>
      </c>
      <c r="E37">
        <v>1150.68</v>
      </c>
      <c r="F37">
        <v>19</v>
      </c>
      <c r="G37">
        <v>0</v>
      </c>
      <c r="H37" t="s">
        <v>94</v>
      </c>
      <c r="I37">
        <v>323.68</v>
      </c>
      <c r="J37" t="s">
        <v>15</v>
      </c>
    </row>
    <row r="38" spans="1:10">
      <c r="A38" t="s">
        <v>88</v>
      </c>
      <c r="B38" t="s">
        <v>95</v>
      </c>
      <c r="C38" t="s">
        <v>23</v>
      </c>
      <c r="D38" t="s">
        <v>13</v>
      </c>
      <c r="E38">
        <v>1527.25</v>
      </c>
      <c r="F38">
        <v>8</v>
      </c>
      <c r="G38">
        <v>0.1</v>
      </c>
      <c r="H38" t="s">
        <v>96</v>
      </c>
      <c r="I38">
        <v>255.55</v>
      </c>
      <c r="J38" t="s">
        <v>15</v>
      </c>
    </row>
    <row r="39" spans="1:10">
      <c r="A39" t="s">
        <v>39</v>
      </c>
      <c r="B39" t="s">
        <v>22</v>
      </c>
      <c r="C39" t="s">
        <v>31</v>
      </c>
      <c r="D39" t="s">
        <v>24</v>
      </c>
      <c r="E39">
        <v>1676.59</v>
      </c>
      <c r="F39">
        <v>17</v>
      </c>
      <c r="G39">
        <v>0</v>
      </c>
      <c r="H39" t="s">
        <v>97</v>
      </c>
      <c r="I39">
        <v>612.18</v>
      </c>
      <c r="J39" t="s">
        <v>15</v>
      </c>
    </row>
    <row r="40" spans="1:10">
      <c r="A40" t="s">
        <v>98</v>
      </c>
      <c r="B40" t="s">
        <v>11</v>
      </c>
      <c r="C40" t="s">
        <v>23</v>
      </c>
      <c r="D40" t="s">
        <v>13</v>
      </c>
      <c r="E40">
        <v>417.37</v>
      </c>
      <c r="F40">
        <v>4</v>
      </c>
      <c r="G40">
        <v>0.2</v>
      </c>
      <c r="H40" t="s">
        <v>85</v>
      </c>
      <c r="I40">
        <v>84.19</v>
      </c>
      <c r="J40" t="s">
        <v>15</v>
      </c>
    </row>
    <row r="41" spans="1:10">
      <c r="A41" t="s">
        <v>63</v>
      </c>
      <c r="B41" t="s">
        <v>71</v>
      </c>
      <c r="C41" t="s">
        <v>31</v>
      </c>
      <c r="D41" t="s">
        <v>61</v>
      </c>
      <c r="E41">
        <v>1246.87</v>
      </c>
      <c r="F41">
        <v>9</v>
      </c>
      <c r="G41">
        <v>0.2</v>
      </c>
      <c r="H41" t="s">
        <v>99</v>
      </c>
      <c r="I41">
        <v>243.56</v>
      </c>
      <c r="J41" t="s">
        <v>15</v>
      </c>
    </row>
    <row r="42" spans="1:10">
      <c r="A42" t="s">
        <v>33</v>
      </c>
      <c r="B42" t="s">
        <v>43</v>
      </c>
      <c r="C42" t="s">
        <v>12</v>
      </c>
      <c r="D42" t="s">
        <v>19</v>
      </c>
      <c r="E42">
        <v>1452.55</v>
      </c>
      <c r="F42">
        <v>2</v>
      </c>
      <c r="G42">
        <v>0</v>
      </c>
      <c r="H42" t="s">
        <v>100</v>
      </c>
      <c r="I42">
        <v>510.33</v>
      </c>
      <c r="J42" t="s">
        <v>15</v>
      </c>
    </row>
    <row r="43" spans="1:10">
      <c r="A43" t="s">
        <v>10</v>
      </c>
      <c r="B43" t="s">
        <v>95</v>
      </c>
      <c r="C43" t="s">
        <v>23</v>
      </c>
      <c r="D43" t="s">
        <v>19</v>
      </c>
      <c r="E43">
        <v>1049.94</v>
      </c>
      <c r="F43">
        <v>14</v>
      </c>
      <c r="G43">
        <v>0.2</v>
      </c>
      <c r="H43" t="s">
        <v>101</v>
      </c>
      <c r="I43">
        <v>161.23</v>
      </c>
      <c r="J43" t="s">
        <v>15</v>
      </c>
    </row>
    <row r="44" spans="1:10">
      <c r="A44" t="s">
        <v>65</v>
      </c>
      <c r="B44" t="s">
        <v>102</v>
      </c>
      <c r="C44" t="s">
        <v>18</v>
      </c>
      <c r="D44" t="s">
        <v>38</v>
      </c>
      <c r="E44">
        <v>1460.16</v>
      </c>
      <c r="F44">
        <v>19</v>
      </c>
      <c r="G44">
        <v>0.2</v>
      </c>
      <c r="H44" t="s">
        <v>103</v>
      </c>
      <c r="I44">
        <v>363.49</v>
      </c>
      <c r="J44" t="s">
        <v>15</v>
      </c>
    </row>
    <row r="45" spans="1:10">
      <c r="A45" t="s">
        <v>36</v>
      </c>
      <c r="B45" t="s">
        <v>104</v>
      </c>
      <c r="C45" t="s">
        <v>31</v>
      </c>
      <c r="D45" t="s">
        <v>38</v>
      </c>
      <c r="E45">
        <v>1553.44</v>
      </c>
      <c r="F45">
        <v>7</v>
      </c>
      <c r="G45">
        <v>0.05</v>
      </c>
      <c r="H45" t="s">
        <v>97</v>
      </c>
      <c r="I45">
        <v>234.32</v>
      </c>
      <c r="J45" t="s">
        <v>15</v>
      </c>
    </row>
    <row r="46" spans="1:10">
      <c r="A46" t="s">
        <v>42</v>
      </c>
      <c r="B46" t="s">
        <v>22</v>
      </c>
      <c r="C46" t="s">
        <v>27</v>
      </c>
      <c r="D46" t="s">
        <v>24</v>
      </c>
      <c r="E46">
        <v>1336.74</v>
      </c>
      <c r="F46">
        <v>8</v>
      </c>
      <c r="G46">
        <v>0.05</v>
      </c>
      <c r="H46" t="s">
        <v>105</v>
      </c>
      <c r="I46">
        <v>513.88</v>
      </c>
      <c r="J46" t="s">
        <v>15</v>
      </c>
    </row>
    <row r="47" spans="1:10">
      <c r="A47" t="s">
        <v>21</v>
      </c>
      <c r="B47" t="s">
        <v>26</v>
      </c>
      <c r="C47" t="s">
        <v>31</v>
      </c>
      <c r="D47" t="s">
        <v>19</v>
      </c>
      <c r="E47">
        <v>1413.24</v>
      </c>
      <c r="F47">
        <v>8</v>
      </c>
      <c r="G47">
        <v>0.1</v>
      </c>
      <c r="H47" t="s">
        <v>106</v>
      </c>
      <c r="I47">
        <v>503.41</v>
      </c>
      <c r="J47" t="s">
        <v>15</v>
      </c>
    </row>
    <row r="48" spans="1:10">
      <c r="A48" t="s">
        <v>29</v>
      </c>
      <c r="B48" t="s">
        <v>34</v>
      </c>
      <c r="C48" t="s">
        <v>12</v>
      </c>
      <c r="D48" t="s">
        <v>19</v>
      </c>
      <c r="E48">
        <v>572.53</v>
      </c>
      <c r="F48">
        <v>15</v>
      </c>
      <c r="G48">
        <v>0.1</v>
      </c>
      <c r="H48" t="s">
        <v>107</v>
      </c>
      <c r="I48">
        <v>209.64</v>
      </c>
      <c r="J48" t="s">
        <v>15</v>
      </c>
    </row>
    <row r="49" spans="1:10">
      <c r="A49" t="s">
        <v>56</v>
      </c>
      <c r="B49" t="s">
        <v>37</v>
      </c>
      <c r="C49" t="s">
        <v>23</v>
      </c>
      <c r="D49" t="s">
        <v>38</v>
      </c>
      <c r="E49">
        <v>1207.05</v>
      </c>
      <c r="F49">
        <v>13</v>
      </c>
      <c r="G49">
        <v>0.1</v>
      </c>
      <c r="H49" t="s">
        <v>25</v>
      </c>
      <c r="I49">
        <v>457.84</v>
      </c>
      <c r="J49" t="s">
        <v>15</v>
      </c>
    </row>
    <row r="50" spans="1:10">
      <c r="A50" t="s">
        <v>42</v>
      </c>
      <c r="B50" t="s">
        <v>95</v>
      </c>
      <c r="C50" t="s">
        <v>31</v>
      </c>
      <c r="D50" t="s">
        <v>24</v>
      </c>
      <c r="E50">
        <v>829.53</v>
      </c>
      <c r="F50">
        <v>18</v>
      </c>
      <c r="G50">
        <v>0.1</v>
      </c>
      <c r="H50" t="s">
        <v>108</v>
      </c>
      <c r="I50">
        <v>128.25</v>
      </c>
      <c r="J50" t="s">
        <v>15</v>
      </c>
    </row>
    <row r="51" spans="1:10">
      <c r="A51" t="s">
        <v>109</v>
      </c>
      <c r="B51" t="s">
        <v>26</v>
      </c>
      <c r="C51" t="s">
        <v>18</v>
      </c>
      <c r="D51" t="s">
        <v>13</v>
      </c>
      <c r="E51">
        <v>305.47</v>
      </c>
      <c r="F51">
        <v>14</v>
      </c>
      <c r="G51">
        <v>0.1</v>
      </c>
      <c r="H51" t="s">
        <v>110</v>
      </c>
      <c r="I51">
        <v>76.65</v>
      </c>
      <c r="J51" t="s">
        <v>15</v>
      </c>
    </row>
    <row r="52" spans="1:10">
      <c r="A52" t="s">
        <v>88</v>
      </c>
      <c r="B52" t="s">
        <v>11</v>
      </c>
      <c r="C52" t="s">
        <v>27</v>
      </c>
      <c r="D52" t="s">
        <v>24</v>
      </c>
      <c r="E52">
        <v>525.61</v>
      </c>
      <c r="F52">
        <v>2</v>
      </c>
      <c r="G52">
        <v>0.15</v>
      </c>
      <c r="H52" t="s">
        <v>111</v>
      </c>
      <c r="I52">
        <v>145.06</v>
      </c>
      <c r="J52" t="s">
        <v>15</v>
      </c>
    </row>
    <row r="53" spans="1:10">
      <c r="A53" t="s">
        <v>112</v>
      </c>
      <c r="B53" t="s">
        <v>22</v>
      </c>
      <c r="C53" t="s">
        <v>23</v>
      </c>
      <c r="D53" t="s">
        <v>13</v>
      </c>
      <c r="E53">
        <v>875.38</v>
      </c>
      <c r="F53">
        <v>11</v>
      </c>
      <c r="G53">
        <v>0.2</v>
      </c>
      <c r="H53" t="s">
        <v>110</v>
      </c>
      <c r="I53">
        <v>279.26</v>
      </c>
      <c r="J53" t="s">
        <v>15</v>
      </c>
    </row>
    <row r="54" spans="1:10">
      <c r="A54" t="s">
        <v>29</v>
      </c>
      <c r="B54" t="s">
        <v>104</v>
      </c>
      <c r="C54" t="s">
        <v>18</v>
      </c>
      <c r="D54" t="s">
        <v>13</v>
      </c>
      <c r="E54">
        <v>1216.99</v>
      </c>
      <c r="F54">
        <v>11</v>
      </c>
      <c r="G54">
        <v>0.15</v>
      </c>
      <c r="H54" t="s">
        <v>113</v>
      </c>
      <c r="I54">
        <v>348.45</v>
      </c>
      <c r="J54" t="s">
        <v>15</v>
      </c>
    </row>
    <row r="55" spans="1:10">
      <c r="A55" t="s">
        <v>86</v>
      </c>
      <c r="B55" t="s">
        <v>54</v>
      </c>
      <c r="C55" t="s">
        <v>27</v>
      </c>
      <c r="D55" t="s">
        <v>61</v>
      </c>
      <c r="E55">
        <v>1142.5</v>
      </c>
      <c r="F55">
        <v>10</v>
      </c>
      <c r="G55">
        <v>0.15</v>
      </c>
      <c r="H55" t="s">
        <v>114</v>
      </c>
      <c r="I55">
        <v>422.86</v>
      </c>
      <c r="J55" t="s">
        <v>15</v>
      </c>
    </row>
    <row r="56" spans="1:10">
      <c r="A56" t="s">
        <v>98</v>
      </c>
      <c r="B56" t="s">
        <v>104</v>
      </c>
      <c r="C56" t="s">
        <v>23</v>
      </c>
      <c r="D56" t="s">
        <v>19</v>
      </c>
      <c r="E56">
        <v>1389.35</v>
      </c>
      <c r="F56">
        <v>11</v>
      </c>
      <c r="G56">
        <v>0.15</v>
      </c>
      <c r="H56" t="s">
        <v>115</v>
      </c>
      <c r="I56">
        <v>351.02</v>
      </c>
      <c r="J56" t="s">
        <v>15</v>
      </c>
    </row>
    <row r="57" spans="1:10">
      <c r="A57" t="s">
        <v>86</v>
      </c>
      <c r="B57" t="s">
        <v>51</v>
      </c>
      <c r="C57" t="s">
        <v>27</v>
      </c>
      <c r="D57" t="s">
        <v>61</v>
      </c>
      <c r="E57">
        <v>1205.33</v>
      </c>
      <c r="F57">
        <v>10</v>
      </c>
      <c r="G57">
        <v>0.2</v>
      </c>
      <c r="H57" t="s">
        <v>116</v>
      </c>
      <c r="I57">
        <v>373.51</v>
      </c>
      <c r="J57" t="s">
        <v>15</v>
      </c>
    </row>
    <row r="58" spans="1:10">
      <c r="A58" t="s">
        <v>92</v>
      </c>
      <c r="B58" t="s">
        <v>17</v>
      </c>
      <c r="C58" t="s">
        <v>23</v>
      </c>
      <c r="D58" t="s">
        <v>13</v>
      </c>
      <c r="E58">
        <v>575.73</v>
      </c>
      <c r="F58">
        <v>7</v>
      </c>
      <c r="G58">
        <v>0.05</v>
      </c>
      <c r="H58" t="s">
        <v>117</v>
      </c>
      <c r="I58">
        <v>77.07</v>
      </c>
      <c r="J58" t="s">
        <v>15</v>
      </c>
    </row>
    <row r="59" spans="1:10">
      <c r="A59" t="s">
        <v>68</v>
      </c>
      <c r="B59" t="s">
        <v>118</v>
      </c>
      <c r="C59" t="s">
        <v>12</v>
      </c>
      <c r="D59" t="s">
        <v>19</v>
      </c>
      <c r="E59">
        <v>850.94</v>
      </c>
      <c r="F59">
        <v>19</v>
      </c>
      <c r="G59">
        <v>0.05</v>
      </c>
      <c r="H59" t="s">
        <v>119</v>
      </c>
      <c r="I59">
        <v>228.32</v>
      </c>
      <c r="J59" t="s">
        <v>15</v>
      </c>
    </row>
    <row r="60" spans="1:10">
      <c r="A60" t="s">
        <v>73</v>
      </c>
      <c r="B60" t="s">
        <v>102</v>
      </c>
      <c r="C60" t="s">
        <v>12</v>
      </c>
      <c r="D60" t="s">
        <v>38</v>
      </c>
      <c r="E60">
        <v>1378.71</v>
      </c>
      <c r="F60">
        <v>8</v>
      </c>
      <c r="G60">
        <v>0.05</v>
      </c>
      <c r="H60" t="s">
        <v>120</v>
      </c>
      <c r="I60">
        <v>357.59</v>
      </c>
      <c r="J60" t="s">
        <v>15</v>
      </c>
    </row>
    <row r="61" spans="1:10">
      <c r="A61" t="s">
        <v>16</v>
      </c>
      <c r="B61" t="s">
        <v>37</v>
      </c>
      <c r="C61" t="s">
        <v>12</v>
      </c>
      <c r="D61" t="s">
        <v>19</v>
      </c>
      <c r="E61">
        <v>443.34</v>
      </c>
      <c r="F61">
        <v>15</v>
      </c>
      <c r="G61">
        <v>0.2</v>
      </c>
      <c r="H61" t="s">
        <v>121</v>
      </c>
      <c r="I61">
        <v>132.4</v>
      </c>
      <c r="J61" t="s">
        <v>15</v>
      </c>
    </row>
    <row r="62" spans="1:10">
      <c r="A62" t="s">
        <v>42</v>
      </c>
      <c r="B62" t="s">
        <v>81</v>
      </c>
      <c r="C62" t="s">
        <v>18</v>
      </c>
      <c r="D62" t="s">
        <v>24</v>
      </c>
      <c r="E62">
        <v>868.77</v>
      </c>
      <c r="F62">
        <v>18</v>
      </c>
      <c r="G62">
        <v>0.15</v>
      </c>
      <c r="H62" t="s">
        <v>106</v>
      </c>
      <c r="I62">
        <v>298.07</v>
      </c>
      <c r="J62" t="s">
        <v>15</v>
      </c>
    </row>
    <row r="63" spans="1:10">
      <c r="A63" t="s">
        <v>68</v>
      </c>
      <c r="B63" t="s">
        <v>81</v>
      </c>
      <c r="C63" t="s">
        <v>31</v>
      </c>
      <c r="D63" t="s">
        <v>61</v>
      </c>
      <c r="E63">
        <v>1467.8</v>
      </c>
      <c r="F63">
        <v>9</v>
      </c>
      <c r="G63">
        <v>0.2</v>
      </c>
      <c r="H63" t="s">
        <v>122</v>
      </c>
      <c r="I63">
        <v>452.12</v>
      </c>
      <c r="J63" t="s">
        <v>15</v>
      </c>
    </row>
    <row r="64" spans="1:10">
      <c r="A64" t="s">
        <v>109</v>
      </c>
      <c r="B64" t="s">
        <v>81</v>
      </c>
      <c r="C64" t="s">
        <v>12</v>
      </c>
      <c r="D64" t="s">
        <v>13</v>
      </c>
      <c r="E64">
        <v>590.02</v>
      </c>
      <c r="F64">
        <v>11</v>
      </c>
      <c r="G64">
        <v>0.1</v>
      </c>
      <c r="H64" t="s">
        <v>69</v>
      </c>
      <c r="I64">
        <v>85.07</v>
      </c>
      <c r="J64" t="s">
        <v>15</v>
      </c>
    </row>
    <row r="65" spans="1:10">
      <c r="A65" t="s">
        <v>50</v>
      </c>
      <c r="B65" t="s">
        <v>37</v>
      </c>
      <c r="C65" t="s">
        <v>27</v>
      </c>
      <c r="D65" t="s">
        <v>61</v>
      </c>
      <c r="E65">
        <v>1274.31</v>
      </c>
      <c r="F65">
        <v>3</v>
      </c>
      <c r="G65">
        <v>0.15</v>
      </c>
      <c r="H65" t="s">
        <v>123</v>
      </c>
      <c r="I65">
        <v>279.41</v>
      </c>
      <c r="J65" t="s">
        <v>15</v>
      </c>
    </row>
    <row r="66" spans="1:10">
      <c r="A66" t="s">
        <v>59</v>
      </c>
      <c r="B66" t="s">
        <v>54</v>
      </c>
      <c r="C66" t="s">
        <v>12</v>
      </c>
      <c r="D66" t="s">
        <v>61</v>
      </c>
      <c r="E66">
        <v>1457.69</v>
      </c>
      <c r="F66">
        <v>13</v>
      </c>
      <c r="G66">
        <v>0.2</v>
      </c>
      <c r="H66" t="s">
        <v>124</v>
      </c>
      <c r="I66">
        <v>549.58</v>
      </c>
      <c r="J66" t="s">
        <v>15</v>
      </c>
    </row>
    <row r="67" spans="1:10">
      <c r="A67" t="s">
        <v>42</v>
      </c>
      <c r="B67" t="s">
        <v>66</v>
      </c>
      <c r="C67" t="s">
        <v>27</v>
      </c>
      <c r="D67" t="s">
        <v>19</v>
      </c>
      <c r="E67">
        <v>258.55</v>
      </c>
      <c r="F67">
        <v>12</v>
      </c>
      <c r="G67">
        <v>0.1</v>
      </c>
      <c r="H67" t="s">
        <v>125</v>
      </c>
      <c r="I67">
        <v>97.22</v>
      </c>
      <c r="J67" t="s">
        <v>15</v>
      </c>
    </row>
    <row r="68" spans="1:10">
      <c r="A68" t="s">
        <v>39</v>
      </c>
      <c r="B68" t="s">
        <v>54</v>
      </c>
      <c r="C68" t="s">
        <v>18</v>
      </c>
      <c r="D68" t="s">
        <v>24</v>
      </c>
      <c r="E68">
        <v>1409.81</v>
      </c>
      <c r="F68">
        <v>8</v>
      </c>
      <c r="G68">
        <v>0.15</v>
      </c>
      <c r="H68" t="s">
        <v>126</v>
      </c>
      <c r="I68">
        <v>284.61</v>
      </c>
      <c r="J68" t="s">
        <v>15</v>
      </c>
    </row>
    <row r="69" spans="1:10">
      <c r="A69" t="s">
        <v>68</v>
      </c>
      <c r="B69" t="s">
        <v>57</v>
      </c>
      <c r="C69" t="s">
        <v>27</v>
      </c>
      <c r="D69" t="s">
        <v>13</v>
      </c>
      <c r="E69">
        <v>1219.87</v>
      </c>
      <c r="F69">
        <v>13</v>
      </c>
      <c r="G69">
        <v>0.05</v>
      </c>
      <c r="H69" t="s">
        <v>127</v>
      </c>
      <c r="I69">
        <v>482.9</v>
      </c>
      <c r="J69" t="s">
        <v>15</v>
      </c>
    </row>
    <row r="70" spans="1:10">
      <c r="A70" t="s">
        <v>63</v>
      </c>
      <c r="B70" t="s">
        <v>22</v>
      </c>
      <c r="C70" t="s">
        <v>12</v>
      </c>
      <c r="D70" t="s">
        <v>19</v>
      </c>
      <c r="E70">
        <v>1108.24</v>
      </c>
      <c r="F70">
        <v>1</v>
      </c>
      <c r="G70">
        <v>0</v>
      </c>
      <c r="H70" t="s">
        <v>128</v>
      </c>
      <c r="I70">
        <v>275.49</v>
      </c>
      <c r="J70" t="s">
        <v>15</v>
      </c>
    </row>
    <row r="71" spans="1:10">
      <c r="A71" t="s">
        <v>56</v>
      </c>
      <c r="B71" t="s">
        <v>81</v>
      </c>
      <c r="C71" t="s">
        <v>23</v>
      </c>
      <c r="D71" t="s">
        <v>38</v>
      </c>
      <c r="E71">
        <v>627.23</v>
      </c>
      <c r="F71">
        <v>11</v>
      </c>
      <c r="G71">
        <v>0.05</v>
      </c>
      <c r="H71" t="s">
        <v>129</v>
      </c>
      <c r="I71">
        <v>136.77</v>
      </c>
      <c r="J71" t="s">
        <v>15</v>
      </c>
    </row>
    <row r="72" spans="1:10">
      <c r="A72" t="s">
        <v>42</v>
      </c>
      <c r="B72" t="s">
        <v>34</v>
      </c>
      <c r="C72" t="s">
        <v>31</v>
      </c>
      <c r="D72" t="s">
        <v>19</v>
      </c>
      <c r="E72">
        <v>615.79</v>
      </c>
      <c r="F72">
        <v>3</v>
      </c>
      <c r="G72">
        <v>0.15</v>
      </c>
      <c r="H72" t="s">
        <v>130</v>
      </c>
      <c r="I72">
        <v>212.27</v>
      </c>
      <c r="J72" t="s">
        <v>15</v>
      </c>
    </row>
    <row r="73" spans="1:10">
      <c r="A73" t="s">
        <v>36</v>
      </c>
      <c r="B73" t="s">
        <v>30</v>
      </c>
      <c r="C73" t="s">
        <v>23</v>
      </c>
      <c r="D73" t="s">
        <v>38</v>
      </c>
      <c r="E73">
        <v>1382.79</v>
      </c>
      <c r="F73">
        <v>2</v>
      </c>
      <c r="G73">
        <v>0</v>
      </c>
      <c r="H73" t="s">
        <v>131</v>
      </c>
      <c r="I73">
        <v>248.64</v>
      </c>
      <c r="J73" t="s">
        <v>15</v>
      </c>
    </row>
    <row r="74" spans="1:10">
      <c r="A74" t="s">
        <v>21</v>
      </c>
      <c r="B74" t="s">
        <v>118</v>
      </c>
      <c r="C74" t="s">
        <v>23</v>
      </c>
      <c r="D74" t="s">
        <v>61</v>
      </c>
      <c r="E74">
        <v>433.02</v>
      </c>
      <c r="F74">
        <v>4</v>
      </c>
      <c r="G74">
        <v>0.2</v>
      </c>
      <c r="H74" t="s">
        <v>132</v>
      </c>
      <c r="I74">
        <v>112.37</v>
      </c>
      <c r="J74" t="s">
        <v>15</v>
      </c>
    </row>
    <row r="75" spans="1:10">
      <c r="A75" t="s">
        <v>109</v>
      </c>
      <c r="B75" t="s">
        <v>30</v>
      </c>
      <c r="C75" t="s">
        <v>23</v>
      </c>
      <c r="D75" t="s">
        <v>24</v>
      </c>
      <c r="E75">
        <v>1130.51</v>
      </c>
      <c r="F75">
        <v>4</v>
      </c>
      <c r="G75">
        <v>0.05</v>
      </c>
      <c r="H75" t="s">
        <v>133</v>
      </c>
      <c r="I75">
        <v>172.32</v>
      </c>
      <c r="J75" t="s">
        <v>15</v>
      </c>
    </row>
    <row r="76" spans="1:10">
      <c r="A76" t="s">
        <v>21</v>
      </c>
      <c r="B76" t="s">
        <v>104</v>
      </c>
      <c r="C76" t="s">
        <v>18</v>
      </c>
      <c r="D76" t="s">
        <v>19</v>
      </c>
      <c r="E76">
        <v>825.15</v>
      </c>
      <c r="F76">
        <v>7</v>
      </c>
      <c r="G76">
        <v>0</v>
      </c>
      <c r="H76" t="s">
        <v>134</v>
      </c>
      <c r="I76">
        <v>269.98</v>
      </c>
      <c r="J76" t="s">
        <v>15</v>
      </c>
    </row>
    <row r="77" spans="1:10">
      <c r="A77" t="s">
        <v>10</v>
      </c>
      <c r="B77" t="s">
        <v>37</v>
      </c>
      <c r="C77" t="s">
        <v>12</v>
      </c>
      <c r="D77" t="s">
        <v>13</v>
      </c>
      <c r="E77">
        <v>1482.93</v>
      </c>
      <c r="F77">
        <v>4</v>
      </c>
      <c r="G77">
        <v>0.2</v>
      </c>
      <c r="H77" t="s">
        <v>135</v>
      </c>
      <c r="I77">
        <v>332.42</v>
      </c>
      <c r="J77" t="s">
        <v>15</v>
      </c>
    </row>
    <row r="78" spans="1:10">
      <c r="A78" t="s">
        <v>136</v>
      </c>
      <c r="B78" t="s">
        <v>30</v>
      </c>
      <c r="C78" t="s">
        <v>12</v>
      </c>
      <c r="D78" t="s">
        <v>24</v>
      </c>
      <c r="E78">
        <v>1188.94</v>
      </c>
      <c r="F78">
        <v>1</v>
      </c>
      <c r="G78">
        <v>0.15</v>
      </c>
      <c r="H78" t="s">
        <v>99</v>
      </c>
      <c r="I78">
        <v>180.32</v>
      </c>
      <c r="J78" t="s">
        <v>15</v>
      </c>
    </row>
    <row r="79" spans="1:10">
      <c r="A79" t="s">
        <v>137</v>
      </c>
      <c r="B79" t="s">
        <v>81</v>
      </c>
      <c r="C79" t="s">
        <v>23</v>
      </c>
      <c r="D79" t="s">
        <v>19</v>
      </c>
      <c r="E79">
        <v>505.4</v>
      </c>
      <c r="F79">
        <v>17</v>
      </c>
      <c r="G79">
        <v>0.1</v>
      </c>
      <c r="H79" t="s">
        <v>138</v>
      </c>
      <c r="I79">
        <v>183.19</v>
      </c>
      <c r="J79" t="s">
        <v>15</v>
      </c>
    </row>
    <row r="80" spans="1:10">
      <c r="A80" t="s">
        <v>16</v>
      </c>
      <c r="B80" t="s">
        <v>77</v>
      </c>
      <c r="C80" t="s">
        <v>27</v>
      </c>
      <c r="D80" t="s">
        <v>19</v>
      </c>
      <c r="E80">
        <v>1447.32</v>
      </c>
      <c r="F80">
        <v>19</v>
      </c>
      <c r="G80">
        <v>0.1</v>
      </c>
      <c r="H80" t="s">
        <v>139</v>
      </c>
      <c r="I80">
        <v>543.49</v>
      </c>
      <c r="J80" t="s">
        <v>15</v>
      </c>
    </row>
    <row r="81" spans="1:10">
      <c r="A81" t="s">
        <v>39</v>
      </c>
      <c r="B81" t="s">
        <v>17</v>
      </c>
      <c r="C81" t="s">
        <v>31</v>
      </c>
      <c r="D81" t="s">
        <v>19</v>
      </c>
      <c r="E81">
        <v>603.6</v>
      </c>
      <c r="F81">
        <v>15</v>
      </c>
      <c r="G81">
        <v>0.2</v>
      </c>
      <c r="H81" t="s">
        <v>140</v>
      </c>
      <c r="I81">
        <v>193.43</v>
      </c>
      <c r="J81" t="s">
        <v>15</v>
      </c>
    </row>
    <row r="82" spans="1:10">
      <c r="A82" t="s">
        <v>92</v>
      </c>
      <c r="B82" t="s">
        <v>57</v>
      </c>
      <c r="C82" t="s">
        <v>27</v>
      </c>
      <c r="D82" t="s">
        <v>13</v>
      </c>
      <c r="E82">
        <v>513.67</v>
      </c>
      <c r="F82">
        <v>7</v>
      </c>
      <c r="G82">
        <v>0.1</v>
      </c>
      <c r="H82" t="s">
        <v>141</v>
      </c>
      <c r="I82">
        <v>114.09</v>
      </c>
      <c r="J82" t="s">
        <v>15</v>
      </c>
    </row>
    <row r="83" spans="1:10">
      <c r="A83" t="s">
        <v>65</v>
      </c>
      <c r="B83" t="s">
        <v>118</v>
      </c>
      <c r="C83" t="s">
        <v>31</v>
      </c>
      <c r="D83" t="s">
        <v>24</v>
      </c>
      <c r="E83">
        <v>264.72</v>
      </c>
      <c r="F83">
        <v>7</v>
      </c>
      <c r="G83">
        <v>0</v>
      </c>
      <c r="H83" t="s">
        <v>142</v>
      </c>
      <c r="I83">
        <v>88.95</v>
      </c>
      <c r="J83" t="s">
        <v>15</v>
      </c>
    </row>
    <row r="84" spans="1:10">
      <c r="A84" t="s">
        <v>68</v>
      </c>
      <c r="B84" t="s">
        <v>22</v>
      </c>
      <c r="C84" t="s">
        <v>23</v>
      </c>
      <c r="D84" t="s">
        <v>19</v>
      </c>
      <c r="E84">
        <v>1186.56</v>
      </c>
      <c r="F84">
        <v>16</v>
      </c>
      <c r="G84">
        <v>0.15</v>
      </c>
      <c r="H84" t="s">
        <v>143</v>
      </c>
      <c r="I84">
        <v>175.51</v>
      </c>
      <c r="J84" t="s">
        <v>15</v>
      </c>
    </row>
    <row r="85" spans="1:10">
      <c r="A85" t="s">
        <v>73</v>
      </c>
      <c r="B85" t="s">
        <v>34</v>
      </c>
      <c r="C85" t="s">
        <v>23</v>
      </c>
      <c r="D85" t="s">
        <v>13</v>
      </c>
      <c r="E85">
        <v>1212.74</v>
      </c>
      <c r="F85">
        <v>12</v>
      </c>
      <c r="G85">
        <v>0.15</v>
      </c>
      <c r="H85" t="s">
        <v>144</v>
      </c>
      <c r="I85">
        <v>338.69</v>
      </c>
      <c r="J85" t="s">
        <v>15</v>
      </c>
    </row>
    <row r="86" spans="1:10">
      <c r="A86" t="s">
        <v>136</v>
      </c>
      <c r="B86" t="s">
        <v>22</v>
      </c>
      <c r="C86" t="s">
        <v>31</v>
      </c>
      <c r="D86" t="s">
        <v>13</v>
      </c>
      <c r="E86">
        <v>1269.14</v>
      </c>
      <c r="F86">
        <v>9</v>
      </c>
      <c r="G86">
        <v>0.1</v>
      </c>
      <c r="H86" t="s">
        <v>55</v>
      </c>
      <c r="I86">
        <v>240.07</v>
      </c>
      <c r="J86" t="s">
        <v>15</v>
      </c>
    </row>
    <row r="87" spans="1:10">
      <c r="A87" t="s">
        <v>48</v>
      </c>
      <c r="B87" t="s">
        <v>71</v>
      </c>
      <c r="C87" t="s">
        <v>31</v>
      </c>
      <c r="D87" t="s">
        <v>38</v>
      </c>
      <c r="E87">
        <v>1327.18</v>
      </c>
      <c r="F87">
        <v>6</v>
      </c>
      <c r="G87">
        <v>0.05</v>
      </c>
      <c r="H87" t="s">
        <v>145</v>
      </c>
      <c r="I87">
        <v>453.34</v>
      </c>
      <c r="J87" t="s">
        <v>15</v>
      </c>
    </row>
    <row r="88" spans="1:10">
      <c r="A88" t="s">
        <v>109</v>
      </c>
      <c r="B88" t="s">
        <v>66</v>
      </c>
      <c r="C88" t="s">
        <v>18</v>
      </c>
      <c r="D88" t="s">
        <v>24</v>
      </c>
      <c r="E88">
        <v>660.35</v>
      </c>
      <c r="F88">
        <v>4</v>
      </c>
      <c r="G88">
        <v>0.05</v>
      </c>
      <c r="H88" t="s">
        <v>113</v>
      </c>
      <c r="I88">
        <v>124.31</v>
      </c>
      <c r="J88" t="s">
        <v>15</v>
      </c>
    </row>
    <row r="89" spans="1:10">
      <c r="A89" t="s">
        <v>146</v>
      </c>
      <c r="B89" t="s">
        <v>104</v>
      </c>
      <c r="C89" t="s">
        <v>12</v>
      </c>
      <c r="D89" t="s">
        <v>24</v>
      </c>
      <c r="E89">
        <v>433.55</v>
      </c>
      <c r="F89">
        <v>2</v>
      </c>
      <c r="G89">
        <v>0</v>
      </c>
      <c r="H89" t="s">
        <v>144</v>
      </c>
      <c r="I89">
        <v>90.02</v>
      </c>
      <c r="J89" t="s">
        <v>15</v>
      </c>
    </row>
    <row r="90" spans="1:10">
      <c r="A90" t="s">
        <v>50</v>
      </c>
      <c r="B90" t="s">
        <v>77</v>
      </c>
      <c r="C90" t="s">
        <v>12</v>
      </c>
      <c r="D90" t="s">
        <v>38</v>
      </c>
      <c r="E90">
        <v>1082.39</v>
      </c>
      <c r="F90">
        <v>16</v>
      </c>
      <c r="G90">
        <v>0.15</v>
      </c>
      <c r="H90" t="s">
        <v>147</v>
      </c>
      <c r="I90">
        <v>240.52</v>
      </c>
      <c r="J90" t="s">
        <v>15</v>
      </c>
    </row>
    <row r="91" spans="1:10">
      <c r="A91" t="s">
        <v>36</v>
      </c>
      <c r="B91" t="s">
        <v>95</v>
      </c>
      <c r="C91" t="s">
        <v>27</v>
      </c>
      <c r="D91" t="s">
        <v>38</v>
      </c>
      <c r="E91">
        <v>1442.07</v>
      </c>
      <c r="F91">
        <v>13</v>
      </c>
      <c r="G91">
        <v>0.15</v>
      </c>
      <c r="H91" t="s">
        <v>94</v>
      </c>
      <c r="I91">
        <v>422.68</v>
      </c>
      <c r="J91" t="s">
        <v>15</v>
      </c>
    </row>
    <row r="92" spans="1:10">
      <c r="A92" t="s">
        <v>53</v>
      </c>
      <c r="B92" t="s">
        <v>43</v>
      </c>
      <c r="C92" t="s">
        <v>23</v>
      </c>
      <c r="D92" t="s">
        <v>61</v>
      </c>
      <c r="E92">
        <v>1426.16</v>
      </c>
      <c r="F92">
        <v>10</v>
      </c>
      <c r="G92">
        <v>0</v>
      </c>
      <c r="H92" t="s">
        <v>80</v>
      </c>
      <c r="I92">
        <v>221.82</v>
      </c>
      <c r="J92" t="s">
        <v>15</v>
      </c>
    </row>
    <row r="93" spans="1:10">
      <c r="A93" t="s">
        <v>42</v>
      </c>
      <c r="B93" t="s">
        <v>54</v>
      </c>
      <c r="C93" t="s">
        <v>18</v>
      </c>
      <c r="D93" t="s">
        <v>24</v>
      </c>
      <c r="E93">
        <v>1396.57</v>
      </c>
      <c r="F93">
        <v>8</v>
      </c>
      <c r="G93">
        <v>0.2</v>
      </c>
      <c r="H93" t="s">
        <v>148</v>
      </c>
      <c r="I93">
        <v>356.34</v>
      </c>
      <c r="J93" t="s">
        <v>15</v>
      </c>
    </row>
    <row r="94" spans="1:10">
      <c r="A94" t="s">
        <v>59</v>
      </c>
      <c r="B94" t="s">
        <v>104</v>
      </c>
      <c r="C94" t="s">
        <v>18</v>
      </c>
      <c r="D94" t="s">
        <v>19</v>
      </c>
      <c r="E94">
        <v>692.8</v>
      </c>
      <c r="F94">
        <v>2</v>
      </c>
      <c r="G94">
        <v>0.2</v>
      </c>
      <c r="H94" t="s">
        <v>149</v>
      </c>
      <c r="I94">
        <v>280.08</v>
      </c>
      <c r="J94" t="s">
        <v>15</v>
      </c>
    </row>
    <row r="95" spans="1:10">
      <c r="A95" t="s">
        <v>86</v>
      </c>
      <c r="B95" t="s">
        <v>71</v>
      </c>
      <c r="C95" t="s">
        <v>31</v>
      </c>
      <c r="D95" t="s">
        <v>38</v>
      </c>
      <c r="E95">
        <v>477.73</v>
      </c>
      <c r="F95">
        <v>6</v>
      </c>
      <c r="G95">
        <v>0.2</v>
      </c>
      <c r="H95" t="s">
        <v>82</v>
      </c>
      <c r="I95">
        <v>79.76</v>
      </c>
      <c r="J95" t="s">
        <v>15</v>
      </c>
    </row>
    <row r="96" spans="1:10">
      <c r="A96" t="s">
        <v>136</v>
      </c>
      <c r="B96" t="s">
        <v>81</v>
      </c>
      <c r="C96" t="s">
        <v>18</v>
      </c>
      <c r="D96" t="s">
        <v>19</v>
      </c>
      <c r="E96">
        <v>672.33</v>
      </c>
      <c r="F96">
        <v>8</v>
      </c>
      <c r="G96">
        <v>0.1</v>
      </c>
      <c r="H96" t="s">
        <v>150</v>
      </c>
      <c r="I96">
        <v>222.47</v>
      </c>
      <c r="J96" t="s">
        <v>15</v>
      </c>
    </row>
    <row r="97" spans="1:10">
      <c r="A97" t="s">
        <v>59</v>
      </c>
      <c r="B97" t="s">
        <v>17</v>
      </c>
      <c r="C97" t="s">
        <v>23</v>
      </c>
      <c r="D97" t="s">
        <v>13</v>
      </c>
      <c r="E97">
        <v>1392.35</v>
      </c>
      <c r="F97">
        <v>19</v>
      </c>
      <c r="G97">
        <v>0.05</v>
      </c>
      <c r="H97" t="s">
        <v>151</v>
      </c>
      <c r="I97">
        <v>215.02</v>
      </c>
      <c r="J97" t="s">
        <v>15</v>
      </c>
    </row>
    <row r="98" spans="1:10">
      <c r="A98" t="s">
        <v>73</v>
      </c>
      <c r="B98" t="s">
        <v>102</v>
      </c>
      <c r="C98" t="s">
        <v>31</v>
      </c>
      <c r="D98" t="s">
        <v>61</v>
      </c>
      <c r="E98">
        <v>353.54</v>
      </c>
      <c r="F98">
        <v>6</v>
      </c>
      <c r="G98">
        <v>0.1</v>
      </c>
      <c r="H98" t="s">
        <v>152</v>
      </c>
      <c r="I98">
        <v>121.86</v>
      </c>
      <c r="J98" t="s">
        <v>15</v>
      </c>
    </row>
    <row r="99" spans="1:10">
      <c r="A99" t="s">
        <v>45</v>
      </c>
      <c r="B99" t="s">
        <v>104</v>
      </c>
      <c r="C99" t="s">
        <v>27</v>
      </c>
      <c r="D99" t="s">
        <v>38</v>
      </c>
      <c r="E99">
        <v>929.61</v>
      </c>
      <c r="F99">
        <v>10</v>
      </c>
      <c r="G99">
        <v>0.15</v>
      </c>
      <c r="H99" t="s">
        <v>153</v>
      </c>
      <c r="I99">
        <v>251.13</v>
      </c>
      <c r="J99" t="s">
        <v>15</v>
      </c>
    </row>
    <row r="100" spans="1:10">
      <c r="A100" t="s">
        <v>68</v>
      </c>
      <c r="B100" t="s">
        <v>81</v>
      </c>
      <c r="C100" t="s">
        <v>12</v>
      </c>
      <c r="D100" t="s">
        <v>24</v>
      </c>
      <c r="E100">
        <v>307.8</v>
      </c>
      <c r="F100">
        <v>14</v>
      </c>
      <c r="G100">
        <v>0.1</v>
      </c>
      <c r="H100" t="s">
        <v>154</v>
      </c>
      <c r="I100">
        <v>60.05</v>
      </c>
      <c r="J100" t="s">
        <v>15</v>
      </c>
    </row>
    <row r="101" spans="1:10">
      <c r="A101" t="s">
        <v>75</v>
      </c>
      <c r="B101" t="s">
        <v>37</v>
      </c>
      <c r="C101" t="s">
        <v>18</v>
      </c>
      <c r="D101" t="s">
        <v>24</v>
      </c>
      <c r="E101">
        <v>1628.64</v>
      </c>
      <c r="F101">
        <v>9</v>
      </c>
      <c r="G101">
        <v>0.2</v>
      </c>
      <c r="H101" t="s">
        <v>155</v>
      </c>
      <c r="I101">
        <v>568.29</v>
      </c>
      <c r="J101" t="s">
        <v>15</v>
      </c>
    </row>
    <row r="102" spans="1:10">
      <c r="A102" t="s">
        <v>146</v>
      </c>
      <c r="B102" t="s">
        <v>77</v>
      </c>
      <c r="C102" t="s">
        <v>18</v>
      </c>
      <c r="D102" t="s">
        <v>19</v>
      </c>
      <c r="E102">
        <v>1578.31</v>
      </c>
      <c r="F102">
        <v>6</v>
      </c>
      <c r="G102">
        <v>0.2</v>
      </c>
      <c r="H102" t="s">
        <v>156</v>
      </c>
      <c r="I102">
        <v>489.96</v>
      </c>
      <c r="J102" t="s">
        <v>15</v>
      </c>
    </row>
    <row r="103" spans="1:10">
      <c r="A103" t="s">
        <v>68</v>
      </c>
      <c r="B103" t="s">
        <v>17</v>
      </c>
      <c r="C103" t="s">
        <v>27</v>
      </c>
      <c r="D103" t="s">
        <v>13</v>
      </c>
      <c r="E103">
        <v>842.1</v>
      </c>
      <c r="F103">
        <v>11</v>
      </c>
      <c r="G103">
        <v>0</v>
      </c>
      <c r="H103" t="s">
        <v>157</v>
      </c>
      <c r="I103">
        <v>184.37</v>
      </c>
      <c r="J103" t="s">
        <v>15</v>
      </c>
    </row>
    <row r="104" spans="1:10">
      <c r="A104" t="s">
        <v>70</v>
      </c>
      <c r="B104" t="s">
        <v>77</v>
      </c>
      <c r="C104" t="s">
        <v>31</v>
      </c>
      <c r="D104" t="s">
        <v>19</v>
      </c>
      <c r="E104">
        <v>1429.67</v>
      </c>
      <c r="F104">
        <v>18</v>
      </c>
      <c r="G104">
        <v>0</v>
      </c>
      <c r="H104" t="s">
        <v>129</v>
      </c>
      <c r="I104">
        <v>209.33</v>
      </c>
      <c r="J104" t="s">
        <v>15</v>
      </c>
    </row>
    <row r="105" spans="1:10">
      <c r="A105" t="s">
        <v>109</v>
      </c>
      <c r="B105" t="s">
        <v>46</v>
      </c>
      <c r="C105" t="s">
        <v>12</v>
      </c>
      <c r="D105" t="s">
        <v>19</v>
      </c>
      <c r="E105">
        <v>1504.12</v>
      </c>
      <c r="F105">
        <v>1</v>
      </c>
      <c r="G105">
        <v>0.2</v>
      </c>
      <c r="H105" t="s">
        <v>158</v>
      </c>
      <c r="I105">
        <v>366.97</v>
      </c>
      <c r="J105" t="s">
        <v>15</v>
      </c>
    </row>
    <row r="106" spans="1:10">
      <c r="A106" t="s">
        <v>86</v>
      </c>
      <c r="B106" t="s">
        <v>51</v>
      </c>
      <c r="C106" t="s">
        <v>31</v>
      </c>
      <c r="D106" t="s">
        <v>24</v>
      </c>
      <c r="E106">
        <v>1346.84</v>
      </c>
      <c r="F106">
        <v>15</v>
      </c>
      <c r="G106">
        <v>0</v>
      </c>
      <c r="H106" t="s">
        <v>91</v>
      </c>
      <c r="I106">
        <v>269.53</v>
      </c>
      <c r="J106" t="s">
        <v>15</v>
      </c>
    </row>
    <row r="107" spans="1:10">
      <c r="A107" t="s">
        <v>50</v>
      </c>
      <c r="B107" t="s">
        <v>104</v>
      </c>
      <c r="C107" t="s">
        <v>27</v>
      </c>
      <c r="D107" t="s">
        <v>19</v>
      </c>
      <c r="E107">
        <v>426.07</v>
      </c>
      <c r="F107">
        <v>8</v>
      </c>
      <c r="G107">
        <v>0.05</v>
      </c>
      <c r="H107" t="s">
        <v>133</v>
      </c>
      <c r="I107">
        <v>121.54</v>
      </c>
      <c r="J107" t="s">
        <v>15</v>
      </c>
    </row>
    <row r="108" spans="1:10">
      <c r="A108" t="s">
        <v>16</v>
      </c>
      <c r="B108" t="s">
        <v>54</v>
      </c>
      <c r="C108" t="s">
        <v>12</v>
      </c>
      <c r="D108" t="s">
        <v>61</v>
      </c>
      <c r="E108">
        <v>1688.77</v>
      </c>
      <c r="F108">
        <v>4</v>
      </c>
      <c r="G108">
        <v>0.15</v>
      </c>
      <c r="H108" t="s">
        <v>159</v>
      </c>
      <c r="I108">
        <v>530.8</v>
      </c>
      <c r="J108" t="s">
        <v>15</v>
      </c>
    </row>
    <row r="109" spans="1:10">
      <c r="A109" t="s">
        <v>50</v>
      </c>
      <c r="B109" t="s">
        <v>77</v>
      </c>
      <c r="C109" t="s">
        <v>31</v>
      </c>
      <c r="D109" t="s">
        <v>24</v>
      </c>
      <c r="E109">
        <v>1272.85</v>
      </c>
      <c r="F109">
        <v>14</v>
      </c>
      <c r="G109">
        <v>0.15</v>
      </c>
      <c r="H109" t="s">
        <v>160</v>
      </c>
      <c r="I109">
        <v>245.81</v>
      </c>
      <c r="J109" t="s">
        <v>15</v>
      </c>
    </row>
    <row r="110" spans="1:10">
      <c r="A110" t="s">
        <v>16</v>
      </c>
      <c r="B110" t="s">
        <v>102</v>
      </c>
      <c r="C110" t="s">
        <v>27</v>
      </c>
      <c r="D110" t="s">
        <v>61</v>
      </c>
      <c r="E110">
        <v>1586.71</v>
      </c>
      <c r="F110">
        <v>17</v>
      </c>
      <c r="G110">
        <v>0.05</v>
      </c>
      <c r="H110" t="s">
        <v>89</v>
      </c>
      <c r="I110">
        <v>321.9</v>
      </c>
      <c r="J110" t="s">
        <v>15</v>
      </c>
    </row>
    <row r="111" spans="1:10">
      <c r="A111" t="s">
        <v>112</v>
      </c>
      <c r="B111" t="s">
        <v>54</v>
      </c>
      <c r="C111" t="s">
        <v>31</v>
      </c>
      <c r="D111" t="s">
        <v>24</v>
      </c>
      <c r="E111">
        <v>637.4</v>
      </c>
      <c r="F111">
        <v>1</v>
      </c>
      <c r="G111">
        <v>0.1</v>
      </c>
      <c r="H111" t="s">
        <v>161</v>
      </c>
      <c r="I111">
        <v>236.63</v>
      </c>
      <c r="J111" t="s">
        <v>15</v>
      </c>
    </row>
    <row r="112" spans="1:10">
      <c r="A112" t="s">
        <v>45</v>
      </c>
      <c r="B112" t="s">
        <v>77</v>
      </c>
      <c r="C112" t="s">
        <v>23</v>
      </c>
      <c r="D112" t="s">
        <v>19</v>
      </c>
      <c r="E112">
        <v>1030.94</v>
      </c>
      <c r="F112">
        <v>12</v>
      </c>
      <c r="G112">
        <v>0.1</v>
      </c>
      <c r="H112" t="s">
        <v>162</v>
      </c>
      <c r="I112">
        <v>359.66</v>
      </c>
      <c r="J112" t="s">
        <v>15</v>
      </c>
    </row>
    <row r="113" spans="1:10">
      <c r="A113" t="s">
        <v>163</v>
      </c>
      <c r="B113" t="s">
        <v>81</v>
      </c>
      <c r="C113" t="s">
        <v>31</v>
      </c>
      <c r="D113" t="s">
        <v>61</v>
      </c>
      <c r="E113">
        <v>1672.12</v>
      </c>
      <c r="F113">
        <v>8</v>
      </c>
      <c r="G113">
        <v>0.2</v>
      </c>
      <c r="H113" t="s">
        <v>119</v>
      </c>
      <c r="I113">
        <v>317.82</v>
      </c>
      <c r="J113" t="s">
        <v>15</v>
      </c>
    </row>
    <row r="114" spans="1:10">
      <c r="A114" t="s">
        <v>42</v>
      </c>
      <c r="B114" t="s">
        <v>54</v>
      </c>
      <c r="C114" t="s">
        <v>12</v>
      </c>
      <c r="D114" t="s">
        <v>13</v>
      </c>
      <c r="E114">
        <v>1329.82</v>
      </c>
      <c r="F114">
        <v>13</v>
      </c>
      <c r="G114">
        <v>0.15</v>
      </c>
      <c r="H114" t="s">
        <v>116</v>
      </c>
      <c r="I114">
        <v>475.7</v>
      </c>
      <c r="J114" t="s">
        <v>15</v>
      </c>
    </row>
    <row r="115" spans="1:10">
      <c r="A115" t="s">
        <v>10</v>
      </c>
      <c r="B115" t="s">
        <v>102</v>
      </c>
      <c r="C115" t="s">
        <v>27</v>
      </c>
      <c r="D115" t="s">
        <v>38</v>
      </c>
      <c r="E115">
        <v>433.06</v>
      </c>
      <c r="F115">
        <v>19</v>
      </c>
      <c r="G115">
        <v>0.1</v>
      </c>
      <c r="H115" t="s">
        <v>164</v>
      </c>
      <c r="I115">
        <v>165.54</v>
      </c>
      <c r="J115" t="s">
        <v>15</v>
      </c>
    </row>
    <row r="116" spans="1:10">
      <c r="A116" t="s">
        <v>59</v>
      </c>
      <c r="B116" t="s">
        <v>11</v>
      </c>
      <c r="C116" t="s">
        <v>18</v>
      </c>
      <c r="D116" t="s">
        <v>19</v>
      </c>
      <c r="E116">
        <v>272.25</v>
      </c>
      <c r="F116">
        <v>5</v>
      </c>
      <c r="G116">
        <v>0.15</v>
      </c>
      <c r="H116" t="s">
        <v>165</v>
      </c>
      <c r="I116">
        <v>111.89</v>
      </c>
      <c r="J116" t="s">
        <v>15</v>
      </c>
    </row>
    <row r="117" spans="1:10">
      <c r="A117" t="s">
        <v>75</v>
      </c>
      <c r="B117" t="s">
        <v>77</v>
      </c>
      <c r="C117" t="s">
        <v>31</v>
      </c>
      <c r="D117" t="s">
        <v>13</v>
      </c>
      <c r="E117">
        <v>1153.73</v>
      </c>
      <c r="F117">
        <v>13</v>
      </c>
      <c r="G117">
        <v>0</v>
      </c>
      <c r="H117" t="s">
        <v>166</v>
      </c>
      <c r="I117">
        <v>433.46</v>
      </c>
      <c r="J117" t="s">
        <v>15</v>
      </c>
    </row>
    <row r="118" spans="1:10">
      <c r="A118" t="s">
        <v>56</v>
      </c>
      <c r="B118" t="s">
        <v>22</v>
      </c>
      <c r="C118" t="s">
        <v>27</v>
      </c>
      <c r="D118" t="s">
        <v>13</v>
      </c>
      <c r="E118">
        <v>1158.86</v>
      </c>
      <c r="F118">
        <v>16</v>
      </c>
      <c r="G118">
        <v>0.2</v>
      </c>
      <c r="H118" t="s">
        <v>167</v>
      </c>
      <c r="I118">
        <v>353.73</v>
      </c>
      <c r="J118" t="s">
        <v>15</v>
      </c>
    </row>
    <row r="119" spans="1:10">
      <c r="A119" t="s">
        <v>73</v>
      </c>
      <c r="B119" t="s">
        <v>104</v>
      </c>
      <c r="C119" t="s">
        <v>23</v>
      </c>
      <c r="D119" t="s">
        <v>38</v>
      </c>
      <c r="E119">
        <v>879.26</v>
      </c>
      <c r="F119">
        <v>4</v>
      </c>
      <c r="G119">
        <v>0</v>
      </c>
      <c r="H119" t="s">
        <v>168</v>
      </c>
      <c r="I119">
        <v>149.39</v>
      </c>
      <c r="J119" t="s">
        <v>15</v>
      </c>
    </row>
    <row r="120" spans="1:10">
      <c r="A120" t="s">
        <v>98</v>
      </c>
      <c r="B120" t="s">
        <v>57</v>
      </c>
      <c r="C120" t="s">
        <v>12</v>
      </c>
      <c r="D120" t="s">
        <v>13</v>
      </c>
      <c r="E120">
        <v>1404.41</v>
      </c>
      <c r="F120">
        <v>10</v>
      </c>
      <c r="G120">
        <v>0.1</v>
      </c>
      <c r="H120" t="s">
        <v>169</v>
      </c>
      <c r="I120">
        <v>349.99</v>
      </c>
      <c r="J120" t="s">
        <v>15</v>
      </c>
    </row>
    <row r="121" spans="1:10">
      <c r="A121" t="s">
        <v>73</v>
      </c>
      <c r="B121" t="s">
        <v>51</v>
      </c>
      <c r="C121" t="s">
        <v>27</v>
      </c>
      <c r="D121" t="s">
        <v>24</v>
      </c>
      <c r="E121">
        <v>1238.61</v>
      </c>
      <c r="F121">
        <v>6</v>
      </c>
      <c r="G121">
        <v>0.05</v>
      </c>
      <c r="H121" t="s">
        <v>170</v>
      </c>
      <c r="I121">
        <v>177.98</v>
      </c>
      <c r="J121" t="s">
        <v>15</v>
      </c>
    </row>
    <row r="122" spans="1:10">
      <c r="A122" t="s">
        <v>56</v>
      </c>
      <c r="B122" t="s">
        <v>34</v>
      </c>
      <c r="C122" t="s">
        <v>18</v>
      </c>
      <c r="D122" t="s">
        <v>61</v>
      </c>
      <c r="E122">
        <v>971.62</v>
      </c>
      <c r="F122">
        <v>19</v>
      </c>
      <c r="G122">
        <v>0.05</v>
      </c>
      <c r="H122" t="s">
        <v>171</v>
      </c>
      <c r="I122">
        <v>251.01</v>
      </c>
      <c r="J122" t="s">
        <v>15</v>
      </c>
    </row>
    <row r="123" spans="1:10">
      <c r="A123" t="s">
        <v>109</v>
      </c>
      <c r="B123" t="s">
        <v>81</v>
      </c>
      <c r="C123" t="s">
        <v>31</v>
      </c>
      <c r="D123" t="s">
        <v>38</v>
      </c>
      <c r="E123">
        <v>1553.42</v>
      </c>
      <c r="F123">
        <v>15</v>
      </c>
      <c r="G123">
        <v>0.1</v>
      </c>
      <c r="H123" t="s">
        <v>14</v>
      </c>
      <c r="I123">
        <v>441.14</v>
      </c>
      <c r="J123" t="s">
        <v>15</v>
      </c>
    </row>
    <row r="124" spans="1:10">
      <c r="A124" t="s">
        <v>75</v>
      </c>
      <c r="B124" t="s">
        <v>81</v>
      </c>
      <c r="C124" t="s">
        <v>31</v>
      </c>
      <c r="D124" t="s">
        <v>24</v>
      </c>
      <c r="E124">
        <v>683.77</v>
      </c>
      <c r="F124">
        <v>14</v>
      </c>
      <c r="G124">
        <v>0.1</v>
      </c>
      <c r="H124" t="s">
        <v>172</v>
      </c>
      <c r="I124">
        <v>255.45</v>
      </c>
      <c r="J124" t="s">
        <v>15</v>
      </c>
    </row>
    <row r="125" spans="1:10">
      <c r="A125" t="s">
        <v>86</v>
      </c>
      <c r="B125" t="s">
        <v>34</v>
      </c>
      <c r="C125" t="s">
        <v>27</v>
      </c>
      <c r="D125" t="s">
        <v>38</v>
      </c>
      <c r="E125">
        <v>593.95</v>
      </c>
      <c r="F125">
        <v>19</v>
      </c>
      <c r="G125">
        <v>0.1</v>
      </c>
      <c r="H125" t="s">
        <v>173</v>
      </c>
      <c r="I125">
        <v>123.99</v>
      </c>
      <c r="J125" t="s">
        <v>15</v>
      </c>
    </row>
    <row r="126" spans="1:10">
      <c r="A126" t="s">
        <v>70</v>
      </c>
      <c r="B126" t="s">
        <v>104</v>
      </c>
      <c r="C126" t="s">
        <v>12</v>
      </c>
      <c r="D126" t="s">
        <v>19</v>
      </c>
      <c r="E126">
        <v>648</v>
      </c>
      <c r="F126">
        <v>19</v>
      </c>
      <c r="G126">
        <v>0</v>
      </c>
      <c r="H126" t="s">
        <v>174</v>
      </c>
      <c r="I126">
        <v>222.62</v>
      </c>
      <c r="J126" t="s">
        <v>15</v>
      </c>
    </row>
    <row r="127" spans="1:10">
      <c r="A127" t="s">
        <v>39</v>
      </c>
      <c r="B127" t="s">
        <v>104</v>
      </c>
      <c r="C127" t="s">
        <v>23</v>
      </c>
      <c r="D127" t="s">
        <v>24</v>
      </c>
      <c r="E127">
        <v>1412.8</v>
      </c>
      <c r="F127">
        <v>8</v>
      </c>
      <c r="G127">
        <v>0.05</v>
      </c>
      <c r="H127" t="s">
        <v>175</v>
      </c>
      <c r="I127">
        <v>275.76</v>
      </c>
      <c r="J127" t="s">
        <v>15</v>
      </c>
    </row>
    <row r="128" spans="1:10">
      <c r="A128" t="s">
        <v>42</v>
      </c>
      <c r="B128" t="s">
        <v>102</v>
      </c>
      <c r="C128" t="s">
        <v>12</v>
      </c>
      <c r="D128" t="s">
        <v>38</v>
      </c>
      <c r="E128">
        <v>697.95</v>
      </c>
      <c r="F128">
        <v>15</v>
      </c>
      <c r="G128">
        <v>0</v>
      </c>
      <c r="H128" t="s">
        <v>90</v>
      </c>
      <c r="I128">
        <v>160.15</v>
      </c>
      <c r="J128" t="s">
        <v>15</v>
      </c>
    </row>
    <row r="129" spans="1:10">
      <c r="A129" t="s">
        <v>50</v>
      </c>
      <c r="B129" t="s">
        <v>17</v>
      </c>
      <c r="C129" t="s">
        <v>31</v>
      </c>
      <c r="D129" t="s">
        <v>13</v>
      </c>
      <c r="E129">
        <v>1333.85</v>
      </c>
      <c r="F129">
        <v>6</v>
      </c>
      <c r="G129">
        <v>0.05</v>
      </c>
      <c r="H129" t="s">
        <v>176</v>
      </c>
      <c r="I129">
        <v>474.79</v>
      </c>
      <c r="J129" t="s">
        <v>15</v>
      </c>
    </row>
    <row r="130" spans="1:10">
      <c r="A130" t="s">
        <v>65</v>
      </c>
      <c r="B130" t="s">
        <v>30</v>
      </c>
      <c r="C130" t="s">
        <v>18</v>
      </c>
      <c r="D130" t="s">
        <v>24</v>
      </c>
      <c r="E130">
        <v>1574.56</v>
      </c>
      <c r="F130">
        <v>6</v>
      </c>
      <c r="G130">
        <v>0.1</v>
      </c>
      <c r="H130" t="s">
        <v>177</v>
      </c>
      <c r="I130">
        <v>645.91</v>
      </c>
      <c r="J130" t="s">
        <v>15</v>
      </c>
    </row>
    <row r="131" spans="1:10">
      <c r="A131" t="s">
        <v>98</v>
      </c>
      <c r="B131" t="s">
        <v>46</v>
      </c>
      <c r="C131" t="s">
        <v>12</v>
      </c>
      <c r="D131" t="s">
        <v>19</v>
      </c>
      <c r="E131">
        <v>1646.2</v>
      </c>
      <c r="F131">
        <v>5</v>
      </c>
      <c r="G131">
        <v>0.05</v>
      </c>
      <c r="H131" t="s">
        <v>14</v>
      </c>
      <c r="I131">
        <v>555.21</v>
      </c>
      <c r="J131" t="s">
        <v>15</v>
      </c>
    </row>
    <row r="132" spans="1:10">
      <c r="A132" t="s">
        <v>163</v>
      </c>
      <c r="B132" t="s">
        <v>22</v>
      </c>
      <c r="C132" t="s">
        <v>31</v>
      </c>
      <c r="D132" t="s">
        <v>38</v>
      </c>
      <c r="E132">
        <v>1396.49</v>
      </c>
      <c r="F132">
        <v>1</v>
      </c>
      <c r="G132">
        <v>0.1</v>
      </c>
      <c r="H132" t="s">
        <v>32</v>
      </c>
      <c r="I132">
        <v>219.36</v>
      </c>
      <c r="J132" t="s">
        <v>15</v>
      </c>
    </row>
    <row r="133" spans="1:10">
      <c r="A133" t="s">
        <v>137</v>
      </c>
      <c r="B133" t="s">
        <v>95</v>
      </c>
      <c r="C133" t="s">
        <v>18</v>
      </c>
      <c r="D133" t="s">
        <v>19</v>
      </c>
      <c r="E133">
        <v>1442.51</v>
      </c>
      <c r="F133">
        <v>12</v>
      </c>
      <c r="G133">
        <v>0</v>
      </c>
      <c r="H133" t="s">
        <v>178</v>
      </c>
      <c r="I133">
        <v>274.29</v>
      </c>
      <c r="J133" t="s">
        <v>15</v>
      </c>
    </row>
    <row r="134" spans="1:10">
      <c r="A134" t="s">
        <v>21</v>
      </c>
      <c r="B134" t="s">
        <v>118</v>
      </c>
      <c r="C134" t="s">
        <v>18</v>
      </c>
      <c r="D134" t="s">
        <v>13</v>
      </c>
      <c r="E134">
        <v>1577.12</v>
      </c>
      <c r="F134">
        <v>8</v>
      </c>
      <c r="G134">
        <v>0</v>
      </c>
      <c r="H134" t="s">
        <v>179</v>
      </c>
      <c r="I134">
        <v>579.05</v>
      </c>
      <c r="J134" t="s">
        <v>15</v>
      </c>
    </row>
    <row r="135" spans="1:10">
      <c r="A135" t="s">
        <v>33</v>
      </c>
      <c r="B135" t="s">
        <v>104</v>
      </c>
      <c r="C135" t="s">
        <v>27</v>
      </c>
      <c r="D135" t="s">
        <v>38</v>
      </c>
      <c r="E135">
        <v>452.68</v>
      </c>
      <c r="F135">
        <v>2</v>
      </c>
      <c r="G135">
        <v>0.1</v>
      </c>
      <c r="H135" t="s">
        <v>180</v>
      </c>
      <c r="I135">
        <v>70.09</v>
      </c>
      <c r="J135" t="s">
        <v>15</v>
      </c>
    </row>
    <row r="136" spans="1:10">
      <c r="A136" t="s">
        <v>73</v>
      </c>
      <c r="B136" t="s">
        <v>22</v>
      </c>
      <c r="C136" t="s">
        <v>23</v>
      </c>
      <c r="D136" t="s">
        <v>19</v>
      </c>
      <c r="E136">
        <v>907.78</v>
      </c>
      <c r="F136">
        <v>18</v>
      </c>
      <c r="G136">
        <v>0.15</v>
      </c>
      <c r="H136" t="s">
        <v>181</v>
      </c>
      <c r="I136">
        <v>311.08</v>
      </c>
      <c r="J136" t="s">
        <v>15</v>
      </c>
    </row>
    <row r="137" spans="1:10">
      <c r="A137" t="s">
        <v>50</v>
      </c>
      <c r="B137" t="s">
        <v>54</v>
      </c>
      <c r="C137" t="s">
        <v>12</v>
      </c>
      <c r="D137" t="s">
        <v>19</v>
      </c>
      <c r="E137">
        <v>1142.7</v>
      </c>
      <c r="F137">
        <v>9</v>
      </c>
      <c r="G137">
        <v>0</v>
      </c>
      <c r="H137" t="s">
        <v>182</v>
      </c>
      <c r="I137">
        <v>211.61</v>
      </c>
      <c r="J137" t="s">
        <v>15</v>
      </c>
    </row>
    <row r="138" spans="1:10">
      <c r="A138" t="s">
        <v>59</v>
      </c>
      <c r="B138" t="s">
        <v>37</v>
      </c>
      <c r="C138" t="s">
        <v>31</v>
      </c>
      <c r="D138" t="s">
        <v>38</v>
      </c>
      <c r="E138">
        <v>1672.35</v>
      </c>
      <c r="F138">
        <v>12</v>
      </c>
      <c r="G138">
        <v>0.2</v>
      </c>
      <c r="H138" t="s">
        <v>183</v>
      </c>
      <c r="I138">
        <v>380.63</v>
      </c>
      <c r="J138" t="s">
        <v>15</v>
      </c>
    </row>
    <row r="139" spans="1:10">
      <c r="A139" t="s">
        <v>163</v>
      </c>
      <c r="B139" t="s">
        <v>95</v>
      </c>
      <c r="C139" t="s">
        <v>23</v>
      </c>
      <c r="D139" t="s">
        <v>38</v>
      </c>
      <c r="E139">
        <v>1626.07</v>
      </c>
      <c r="F139">
        <v>15</v>
      </c>
      <c r="G139">
        <v>0</v>
      </c>
      <c r="H139" t="s">
        <v>116</v>
      </c>
      <c r="I139">
        <v>298.6</v>
      </c>
      <c r="J139" t="s">
        <v>15</v>
      </c>
    </row>
    <row r="140" spans="1:10">
      <c r="A140" t="s">
        <v>10</v>
      </c>
      <c r="B140" t="s">
        <v>118</v>
      </c>
      <c r="C140" t="s">
        <v>12</v>
      </c>
      <c r="D140" t="s">
        <v>38</v>
      </c>
      <c r="E140">
        <v>1390.85</v>
      </c>
      <c r="F140">
        <v>8</v>
      </c>
      <c r="G140">
        <v>0.05</v>
      </c>
      <c r="H140" t="s">
        <v>184</v>
      </c>
      <c r="I140">
        <v>252.53</v>
      </c>
      <c r="J140" t="s">
        <v>15</v>
      </c>
    </row>
    <row r="141" spans="1:10">
      <c r="A141" t="s">
        <v>39</v>
      </c>
      <c r="B141" t="s">
        <v>22</v>
      </c>
      <c r="C141" t="s">
        <v>23</v>
      </c>
      <c r="D141" t="s">
        <v>24</v>
      </c>
      <c r="E141">
        <v>563.13</v>
      </c>
      <c r="F141">
        <v>8</v>
      </c>
      <c r="G141">
        <v>0.1</v>
      </c>
      <c r="H141" t="s">
        <v>103</v>
      </c>
      <c r="I141">
        <v>200.81</v>
      </c>
      <c r="J141" t="s">
        <v>15</v>
      </c>
    </row>
    <row r="142" spans="1:10">
      <c r="A142" t="s">
        <v>63</v>
      </c>
      <c r="B142" t="s">
        <v>57</v>
      </c>
      <c r="C142" t="s">
        <v>31</v>
      </c>
      <c r="D142" t="s">
        <v>61</v>
      </c>
      <c r="E142">
        <v>1681.91</v>
      </c>
      <c r="F142">
        <v>18</v>
      </c>
      <c r="G142">
        <v>0.1</v>
      </c>
      <c r="H142" t="s">
        <v>170</v>
      </c>
      <c r="I142">
        <v>257.3</v>
      </c>
      <c r="J142" t="s">
        <v>15</v>
      </c>
    </row>
    <row r="143" spans="1:10">
      <c r="A143" t="s">
        <v>56</v>
      </c>
      <c r="B143" t="s">
        <v>57</v>
      </c>
      <c r="C143" t="s">
        <v>23</v>
      </c>
      <c r="D143" t="s">
        <v>38</v>
      </c>
      <c r="E143">
        <v>769.45</v>
      </c>
      <c r="F143">
        <v>8</v>
      </c>
      <c r="G143">
        <v>0.2</v>
      </c>
      <c r="H143" t="s">
        <v>139</v>
      </c>
      <c r="I143">
        <v>95.98</v>
      </c>
      <c r="J143" t="s">
        <v>15</v>
      </c>
    </row>
    <row r="144" spans="1:10">
      <c r="A144" t="s">
        <v>109</v>
      </c>
      <c r="B144" t="s">
        <v>43</v>
      </c>
      <c r="C144" t="s">
        <v>23</v>
      </c>
      <c r="D144" t="s">
        <v>19</v>
      </c>
      <c r="E144">
        <v>1012.82</v>
      </c>
      <c r="F144">
        <v>3</v>
      </c>
      <c r="G144">
        <v>0.15</v>
      </c>
      <c r="H144" t="s">
        <v>185</v>
      </c>
      <c r="I144">
        <v>357.94</v>
      </c>
      <c r="J144" t="s">
        <v>15</v>
      </c>
    </row>
    <row r="145" spans="1:10">
      <c r="A145" t="s">
        <v>88</v>
      </c>
      <c r="B145" t="s">
        <v>66</v>
      </c>
      <c r="C145" t="s">
        <v>12</v>
      </c>
      <c r="D145" t="s">
        <v>19</v>
      </c>
      <c r="E145">
        <v>980.57</v>
      </c>
      <c r="F145">
        <v>2</v>
      </c>
      <c r="G145">
        <v>0.2</v>
      </c>
      <c r="H145" t="s">
        <v>186</v>
      </c>
      <c r="I145">
        <v>252.41</v>
      </c>
      <c r="J145" t="s">
        <v>15</v>
      </c>
    </row>
    <row r="146" spans="1:10">
      <c r="A146" t="s">
        <v>21</v>
      </c>
      <c r="B146" t="s">
        <v>43</v>
      </c>
      <c r="C146" t="s">
        <v>27</v>
      </c>
      <c r="D146" t="s">
        <v>19</v>
      </c>
      <c r="E146">
        <v>868.1</v>
      </c>
      <c r="F146">
        <v>4</v>
      </c>
      <c r="G146">
        <v>0.15</v>
      </c>
      <c r="H146" t="s">
        <v>168</v>
      </c>
      <c r="I146">
        <v>123.31</v>
      </c>
      <c r="J146" t="s">
        <v>15</v>
      </c>
    </row>
    <row r="147" spans="1:10">
      <c r="A147" t="s">
        <v>75</v>
      </c>
      <c r="B147" t="s">
        <v>46</v>
      </c>
      <c r="C147" t="s">
        <v>18</v>
      </c>
      <c r="D147" t="s">
        <v>61</v>
      </c>
      <c r="E147">
        <v>345.24</v>
      </c>
      <c r="F147">
        <v>9</v>
      </c>
      <c r="G147">
        <v>0.2</v>
      </c>
      <c r="H147" t="s">
        <v>187</v>
      </c>
      <c r="I147">
        <v>102.06</v>
      </c>
      <c r="J147" t="s">
        <v>15</v>
      </c>
    </row>
    <row r="148" spans="1:10">
      <c r="A148" t="s">
        <v>70</v>
      </c>
      <c r="B148" t="s">
        <v>46</v>
      </c>
      <c r="C148" t="s">
        <v>27</v>
      </c>
      <c r="D148" t="s">
        <v>24</v>
      </c>
      <c r="E148">
        <v>1019.31</v>
      </c>
      <c r="F148">
        <v>15</v>
      </c>
      <c r="G148">
        <v>0.2</v>
      </c>
      <c r="H148" t="s">
        <v>154</v>
      </c>
      <c r="I148">
        <v>253.87</v>
      </c>
      <c r="J148" t="s">
        <v>15</v>
      </c>
    </row>
    <row r="149" spans="1:10">
      <c r="A149" t="s">
        <v>112</v>
      </c>
      <c r="B149" t="s">
        <v>11</v>
      </c>
      <c r="C149" t="s">
        <v>18</v>
      </c>
      <c r="D149" t="s">
        <v>61</v>
      </c>
      <c r="E149">
        <v>873.6</v>
      </c>
      <c r="F149">
        <v>8</v>
      </c>
      <c r="G149">
        <v>0.15</v>
      </c>
      <c r="H149" t="s">
        <v>188</v>
      </c>
      <c r="I149">
        <v>321.68</v>
      </c>
      <c r="J149" t="s">
        <v>15</v>
      </c>
    </row>
    <row r="150" spans="1:10">
      <c r="A150" t="s">
        <v>163</v>
      </c>
      <c r="B150" t="s">
        <v>54</v>
      </c>
      <c r="C150" t="s">
        <v>12</v>
      </c>
      <c r="D150" t="s">
        <v>13</v>
      </c>
      <c r="E150">
        <v>868.81</v>
      </c>
      <c r="F150">
        <v>9</v>
      </c>
      <c r="G150">
        <v>0.1</v>
      </c>
      <c r="H150" t="s">
        <v>189</v>
      </c>
      <c r="I150">
        <v>283.27</v>
      </c>
      <c r="J150" t="s">
        <v>15</v>
      </c>
    </row>
    <row r="151" spans="1:10">
      <c r="A151" t="s">
        <v>68</v>
      </c>
      <c r="B151" t="s">
        <v>17</v>
      </c>
      <c r="C151" t="s">
        <v>12</v>
      </c>
      <c r="D151" t="s">
        <v>38</v>
      </c>
      <c r="E151">
        <v>385.18</v>
      </c>
      <c r="F151">
        <v>4</v>
      </c>
      <c r="G151">
        <v>0.1</v>
      </c>
      <c r="H151" t="s">
        <v>190</v>
      </c>
      <c r="I151">
        <v>110.51</v>
      </c>
      <c r="J151" t="s">
        <v>15</v>
      </c>
    </row>
    <row r="152" spans="1:10">
      <c r="A152" t="s">
        <v>45</v>
      </c>
      <c r="B152" t="s">
        <v>22</v>
      </c>
      <c r="C152" t="s">
        <v>18</v>
      </c>
      <c r="D152" t="s">
        <v>13</v>
      </c>
      <c r="E152">
        <v>1221.52</v>
      </c>
      <c r="F152">
        <v>14</v>
      </c>
      <c r="G152">
        <v>0.1</v>
      </c>
      <c r="H152" t="s">
        <v>191</v>
      </c>
      <c r="I152">
        <v>491.47</v>
      </c>
      <c r="J152" t="s">
        <v>15</v>
      </c>
    </row>
    <row r="153" spans="1:10">
      <c r="A153" t="s">
        <v>136</v>
      </c>
      <c r="B153" t="s">
        <v>43</v>
      </c>
      <c r="C153" t="s">
        <v>31</v>
      </c>
      <c r="D153" t="s">
        <v>24</v>
      </c>
      <c r="E153">
        <v>703.05</v>
      </c>
      <c r="F153">
        <v>4</v>
      </c>
      <c r="G153">
        <v>0.2</v>
      </c>
      <c r="H153" t="s">
        <v>192</v>
      </c>
      <c r="I153">
        <v>129.24</v>
      </c>
      <c r="J153" t="s">
        <v>15</v>
      </c>
    </row>
    <row r="154" spans="1:10">
      <c r="A154" t="s">
        <v>53</v>
      </c>
      <c r="B154" t="s">
        <v>77</v>
      </c>
      <c r="C154" t="s">
        <v>23</v>
      </c>
      <c r="D154" t="s">
        <v>38</v>
      </c>
      <c r="E154">
        <v>757.67</v>
      </c>
      <c r="F154">
        <v>18</v>
      </c>
      <c r="G154">
        <v>0.1</v>
      </c>
      <c r="H154" t="s">
        <v>193</v>
      </c>
      <c r="I154">
        <v>264.26</v>
      </c>
      <c r="J154" t="s">
        <v>15</v>
      </c>
    </row>
    <row r="155" spans="1:10">
      <c r="A155" t="s">
        <v>45</v>
      </c>
      <c r="B155" t="s">
        <v>37</v>
      </c>
      <c r="C155" t="s">
        <v>27</v>
      </c>
      <c r="D155" t="s">
        <v>24</v>
      </c>
      <c r="E155">
        <v>1663.09</v>
      </c>
      <c r="F155">
        <v>18</v>
      </c>
      <c r="G155">
        <v>0</v>
      </c>
      <c r="H155" t="s">
        <v>40</v>
      </c>
      <c r="I155">
        <v>663.12</v>
      </c>
      <c r="J155" t="s">
        <v>15</v>
      </c>
    </row>
    <row r="156" spans="1:10">
      <c r="A156" t="s">
        <v>39</v>
      </c>
      <c r="B156" t="s">
        <v>95</v>
      </c>
      <c r="C156" t="s">
        <v>12</v>
      </c>
      <c r="D156" t="s">
        <v>61</v>
      </c>
      <c r="E156">
        <v>646.24</v>
      </c>
      <c r="F156">
        <v>10</v>
      </c>
      <c r="G156">
        <v>0.1</v>
      </c>
      <c r="H156" t="s">
        <v>194</v>
      </c>
      <c r="I156">
        <v>78.73</v>
      </c>
      <c r="J156" t="s">
        <v>15</v>
      </c>
    </row>
    <row r="157" spans="1:10">
      <c r="A157" t="s">
        <v>56</v>
      </c>
      <c r="B157" t="s">
        <v>102</v>
      </c>
      <c r="C157" t="s">
        <v>18</v>
      </c>
      <c r="D157" t="s">
        <v>19</v>
      </c>
      <c r="E157">
        <v>350.9</v>
      </c>
      <c r="F157">
        <v>1</v>
      </c>
      <c r="G157">
        <v>0</v>
      </c>
      <c r="H157" t="s">
        <v>62</v>
      </c>
      <c r="I157">
        <v>64.76</v>
      </c>
      <c r="J157" t="s">
        <v>15</v>
      </c>
    </row>
    <row r="158" spans="1:10">
      <c r="A158" t="s">
        <v>136</v>
      </c>
      <c r="B158" t="s">
        <v>81</v>
      </c>
      <c r="C158" t="s">
        <v>31</v>
      </c>
      <c r="D158" t="s">
        <v>61</v>
      </c>
      <c r="E158">
        <v>786.58</v>
      </c>
      <c r="F158">
        <v>11</v>
      </c>
      <c r="G158">
        <v>0.2</v>
      </c>
      <c r="H158" t="s">
        <v>195</v>
      </c>
      <c r="I158">
        <v>114.44</v>
      </c>
      <c r="J158" t="s">
        <v>15</v>
      </c>
    </row>
    <row r="159" spans="1:10">
      <c r="A159" t="s">
        <v>36</v>
      </c>
      <c r="B159" t="s">
        <v>102</v>
      </c>
      <c r="C159" t="s">
        <v>23</v>
      </c>
      <c r="D159" t="s">
        <v>24</v>
      </c>
      <c r="E159">
        <v>322.16</v>
      </c>
      <c r="F159">
        <v>3</v>
      </c>
      <c r="G159">
        <v>0.1</v>
      </c>
      <c r="H159" t="s">
        <v>115</v>
      </c>
      <c r="I159">
        <v>102.63</v>
      </c>
      <c r="J159" t="s">
        <v>15</v>
      </c>
    </row>
    <row r="160" spans="1:10">
      <c r="A160" t="s">
        <v>68</v>
      </c>
      <c r="B160" t="s">
        <v>118</v>
      </c>
      <c r="C160" t="s">
        <v>27</v>
      </c>
      <c r="D160" t="s">
        <v>19</v>
      </c>
      <c r="E160">
        <v>646.09</v>
      </c>
      <c r="F160">
        <v>17</v>
      </c>
      <c r="G160">
        <v>0</v>
      </c>
      <c r="H160" t="s">
        <v>196</v>
      </c>
      <c r="I160">
        <v>160.86</v>
      </c>
      <c r="J160" t="s">
        <v>15</v>
      </c>
    </row>
    <row r="161" spans="1:10">
      <c r="A161" t="s">
        <v>98</v>
      </c>
      <c r="B161" t="s">
        <v>66</v>
      </c>
      <c r="C161" t="s">
        <v>27</v>
      </c>
      <c r="D161" t="s">
        <v>24</v>
      </c>
      <c r="E161">
        <v>1217.34</v>
      </c>
      <c r="F161">
        <v>2</v>
      </c>
      <c r="G161">
        <v>0.05</v>
      </c>
      <c r="H161" t="s">
        <v>197</v>
      </c>
      <c r="I161">
        <v>505.6</v>
      </c>
      <c r="J161" t="s">
        <v>15</v>
      </c>
    </row>
    <row r="162" spans="1:10">
      <c r="A162" t="s">
        <v>36</v>
      </c>
      <c r="B162" t="s">
        <v>57</v>
      </c>
      <c r="C162" t="s">
        <v>23</v>
      </c>
      <c r="D162" t="s">
        <v>13</v>
      </c>
      <c r="E162">
        <v>1620.72</v>
      </c>
      <c r="F162">
        <v>5</v>
      </c>
      <c r="G162">
        <v>0.1</v>
      </c>
      <c r="H162" t="s">
        <v>198</v>
      </c>
      <c r="I162">
        <v>354.02</v>
      </c>
      <c r="J162" t="s">
        <v>15</v>
      </c>
    </row>
    <row r="163" spans="1:10">
      <c r="A163" t="s">
        <v>21</v>
      </c>
      <c r="B163" t="s">
        <v>77</v>
      </c>
      <c r="C163" t="s">
        <v>27</v>
      </c>
      <c r="D163" t="s">
        <v>61</v>
      </c>
      <c r="E163">
        <v>437.32</v>
      </c>
      <c r="F163">
        <v>18</v>
      </c>
      <c r="G163">
        <v>0.05</v>
      </c>
      <c r="H163" t="s">
        <v>199</v>
      </c>
      <c r="I163">
        <v>125.78</v>
      </c>
      <c r="J163" t="s">
        <v>15</v>
      </c>
    </row>
    <row r="164" spans="1:10">
      <c r="A164" t="s">
        <v>53</v>
      </c>
      <c r="B164" t="s">
        <v>30</v>
      </c>
      <c r="C164" t="s">
        <v>12</v>
      </c>
      <c r="D164" t="s">
        <v>19</v>
      </c>
      <c r="E164">
        <v>1499.56</v>
      </c>
      <c r="F164">
        <v>2</v>
      </c>
      <c r="G164">
        <v>0.15</v>
      </c>
      <c r="H164" t="s">
        <v>130</v>
      </c>
      <c r="I164">
        <v>386.78</v>
      </c>
      <c r="J164" t="s">
        <v>15</v>
      </c>
    </row>
    <row r="165" spans="1:10">
      <c r="A165" t="s">
        <v>75</v>
      </c>
      <c r="B165" t="s">
        <v>46</v>
      </c>
      <c r="C165" t="s">
        <v>18</v>
      </c>
      <c r="D165" t="s">
        <v>19</v>
      </c>
      <c r="E165">
        <v>1081.43</v>
      </c>
      <c r="F165">
        <v>14</v>
      </c>
      <c r="G165">
        <v>0.1</v>
      </c>
      <c r="H165" t="s">
        <v>193</v>
      </c>
      <c r="I165">
        <v>261.18</v>
      </c>
      <c r="J165" t="s">
        <v>15</v>
      </c>
    </row>
    <row r="166" spans="1:10">
      <c r="A166" t="s">
        <v>92</v>
      </c>
      <c r="B166" t="s">
        <v>26</v>
      </c>
      <c r="C166" t="s">
        <v>18</v>
      </c>
      <c r="D166" t="s">
        <v>19</v>
      </c>
      <c r="E166">
        <v>1456.44</v>
      </c>
      <c r="F166">
        <v>12</v>
      </c>
      <c r="G166">
        <v>0</v>
      </c>
      <c r="H166" t="s">
        <v>156</v>
      </c>
      <c r="I166">
        <v>543.76</v>
      </c>
      <c r="J166" t="s">
        <v>15</v>
      </c>
    </row>
    <row r="167" spans="1:10">
      <c r="A167" t="s">
        <v>73</v>
      </c>
      <c r="B167" t="s">
        <v>54</v>
      </c>
      <c r="C167" t="s">
        <v>18</v>
      </c>
      <c r="D167" t="s">
        <v>19</v>
      </c>
      <c r="E167">
        <v>1009.75</v>
      </c>
      <c r="F167">
        <v>13</v>
      </c>
      <c r="G167">
        <v>0.1</v>
      </c>
      <c r="H167" t="s">
        <v>188</v>
      </c>
      <c r="I167">
        <v>188.29</v>
      </c>
      <c r="J167" t="s">
        <v>15</v>
      </c>
    </row>
    <row r="168" spans="1:10">
      <c r="A168" t="s">
        <v>42</v>
      </c>
      <c r="B168" t="s">
        <v>26</v>
      </c>
      <c r="C168" t="s">
        <v>12</v>
      </c>
      <c r="D168" t="s">
        <v>24</v>
      </c>
      <c r="E168">
        <v>1168.18</v>
      </c>
      <c r="F168">
        <v>17</v>
      </c>
      <c r="G168">
        <v>0.2</v>
      </c>
      <c r="H168" t="s">
        <v>200</v>
      </c>
      <c r="I168">
        <v>457.67</v>
      </c>
      <c r="J168" t="s">
        <v>15</v>
      </c>
    </row>
    <row r="169" spans="1:10">
      <c r="A169" t="s">
        <v>137</v>
      </c>
      <c r="B169" t="s">
        <v>30</v>
      </c>
      <c r="C169" t="s">
        <v>23</v>
      </c>
      <c r="D169" t="s">
        <v>61</v>
      </c>
      <c r="E169">
        <v>399.07</v>
      </c>
      <c r="F169">
        <v>9</v>
      </c>
      <c r="G169">
        <v>0.05</v>
      </c>
      <c r="H169" t="s">
        <v>201</v>
      </c>
      <c r="I169">
        <v>120.01</v>
      </c>
      <c r="J169" t="s">
        <v>15</v>
      </c>
    </row>
    <row r="170" spans="1:10">
      <c r="A170" t="s">
        <v>42</v>
      </c>
      <c r="B170" t="s">
        <v>17</v>
      </c>
      <c r="C170" t="s">
        <v>23</v>
      </c>
      <c r="D170" t="s">
        <v>19</v>
      </c>
      <c r="E170">
        <v>922.73</v>
      </c>
      <c r="F170">
        <v>19</v>
      </c>
      <c r="G170">
        <v>0.2</v>
      </c>
      <c r="H170" t="s">
        <v>185</v>
      </c>
      <c r="I170">
        <v>299.28</v>
      </c>
      <c r="J170" t="s">
        <v>15</v>
      </c>
    </row>
    <row r="171" spans="1:10">
      <c r="A171" t="s">
        <v>65</v>
      </c>
      <c r="B171" t="s">
        <v>66</v>
      </c>
      <c r="C171" t="s">
        <v>18</v>
      </c>
      <c r="D171" t="s">
        <v>13</v>
      </c>
      <c r="E171">
        <v>1503.16</v>
      </c>
      <c r="F171">
        <v>11</v>
      </c>
      <c r="G171">
        <v>0.05</v>
      </c>
      <c r="H171" t="s">
        <v>147</v>
      </c>
      <c r="I171">
        <v>211.17</v>
      </c>
      <c r="J171" t="s">
        <v>15</v>
      </c>
    </row>
    <row r="172" spans="1:10">
      <c r="A172" t="s">
        <v>59</v>
      </c>
      <c r="B172" t="s">
        <v>104</v>
      </c>
      <c r="C172" t="s">
        <v>31</v>
      </c>
      <c r="D172" t="s">
        <v>24</v>
      </c>
      <c r="E172">
        <v>331.45</v>
      </c>
      <c r="F172">
        <v>17</v>
      </c>
      <c r="G172">
        <v>0</v>
      </c>
      <c r="H172" t="s">
        <v>202</v>
      </c>
      <c r="I172">
        <v>85.69</v>
      </c>
      <c r="J172" t="s">
        <v>15</v>
      </c>
    </row>
    <row r="173" spans="1:10">
      <c r="A173" t="s">
        <v>36</v>
      </c>
      <c r="B173" t="s">
        <v>43</v>
      </c>
      <c r="C173" t="s">
        <v>31</v>
      </c>
      <c r="D173" t="s">
        <v>13</v>
      </c>
      <c r="E173">
        <v>361.26</v>
      </c>
      <c r="F173">
        <v>3</v>
      </c>
      <c r="G173">
        <v>0.2</v>
      </c>
      <c r="H173" t="s">
        <v>152</v>
      </c>
      <c r="I173">
        <v>98.31</v>
      </c>
      <c r="J173" t="s">
        <v>15</v>
      </c>
    </row>
    <row r="174" spans="1:10">
      <c r="A174" t="s">
        <v>59</v>
      </c>
      <c r="B174" t="s">
        <v>66</v>
      </c>
      <c r="C174" t="s">
        <v>18</v>
      </c>
      <c r="D174" t="s">
        <v>38</v>
      </c>
      <c r="E174">
        <v>902.11</v>
      </c>
      <c r="F174">
        <v>19</v>
      </c>
      <c r="G174">
        <v>0.05</v>
      </c>
      <c r="H174" t="s">
        <v>203</v>
      </c>
      <c r="I174">
        <v>271.99</v>
      </c>
      <c r="J174" t="s">
        <v>15</v>
      </c>
    </row>
    <row r="175" spans="1:10">
      <c r="A175" t="s">
        <v>88</v>
      </c>
      <c r="B175" t="s">
        <v>102</v>
      </c>
      <c r="C175" t="s">
        <v>12</v>
      </c>
      <c r="D175" t="s">
        <v>19</v>
      </c>
      <c r="E175">
        <v>400.08</v>
      </c>
      <c r="F175">
        <v>11</v>
      </c>
      <c r="G175">
        <v>0</v>
      </c>
      <c r="H175" t="s">
        <v>204</v>
      </c>
      <c r="I175">
        <v>125.56</v>
      </c>
      <c r="J175" t="s">
        <v>15</v>
      </c>
    </row>
    <row r="176" spans="1:10">
      <c r="A176" t="s">
        <v>36</v>
      </c>
      <c r="B176" t="s">
        <v>37</v>
      </c>
      <c r="C176" t="s">
        <v>27</v>
      </c>
      <c r="D176" t="s">
        <v>19</v>
      </c>
      <c r="E176">
        <v>1009.9</v>
      </c>
      <c r="F176">
        <v>6</v>
      </c>
      <c r="G176">
        <v>0.1</v>
      </c>
      <c r="H176" t="s">
        <v>205</v>
      </c>
      <c r="I176">
        <v>399.3</v>
      </c>
      <c r="J176" t="s">
        <v>15</v>
      </c>
    </row>
    <row r="177" spans="1:10">
      <c r="A177" t="s">
        <v>163</v>
      </c>
      <c r="B177" t="s">
        <v>54</v>
      </c>
      <c r="C177" t="s">
        <v>31</v>
      </c>
      <c r="D177" t="s">
        <v>24</v>
      </c>
      <c r="E177">
        <v>325.93</v>
      </c>
      <c r="F177">
        <v>11</v>
      </c>
      <c r="G177">
        <v>0</v>
      </c>
      <c r="H177" t="s">
        <v>166</v>
      </c>
      <c r="I177">
        <v>48.35</v>
      </c>
      <c r="J177" t="s">
        <v>15</v>
      </c>
    </row>
    <row r="178" spans="1:10">
      <c r="A178" t="s">
        <v>53</v>
      </c>
      <c r="B178" t="s">
        <v>34</v>
      </c>
      <c r="C178" t="s">
        <v>31</v>
      </c>
      <c r="D178" t="s">
        <v>13</v>
      </c>
      <c r="E178">
        <v>1299.41</v>
      </c>
      <c r="F178">
        <v>5</v>
      </c>
      <c r="G178">
        <v>0.1</v>
      </c>
      <c r="H178" t="s">
        <v>206</v>
      </c>
      <c r="I178">
        <v>383.09</v>
      </c>
      <c r="J178" t="s">
        <v>15</v>
      </c>
    </row>
    <row r="179" spans="1:10">
      <c r="A179" t="s">
        <v>50</v>
      </c>
      <c r="B179" t="s">
        <v>30</v>
      </c>
      <c r="C179" t="s">
        <v>31</v>
      </c>
      <c r="D179" t="s">
        <v>19</v>
      </c>
      <c r="E179">
        <v>436.98</v>
      </c>
      <c r="F179">
        <v>3</v>
      </c>
      <c r="G179">
        <v>0.1</v>
      </c>
      <c r="H179" t="s">
        <v>121</v>
      </c>
      <c r="I179">
        <v>101.82</v>
      </c>
      <c r="J179" t="s">
        <v>15</v>
      </c>
    </row>
    <row r="180" spans="1:10">
      <c r="A180" t="s">
        <v>112</v>
      </c>
      <c r="B180" t="s">
        <v>46</v>
      </c>
      <c r="C180" t="s">
        <v>23</v>
      </c>
      <c r="D180" t="s">
        <v>24</v>
      </c>
      <c r="E180">
        <v>385.51</v>
      </c>
      <c r="F180">
        <v>14</v>
      </c>
      <c r="G180">
        <v>0.2</v>
      </c>
      <c r="H180" t="s">
        <v>207</v>
      </c>
      <c r="I180">
        <v>48.37</v>
      </c>
      <c r="J180" t="s">
        <v>15</v>
      </c>
    </row>
    <row r="181" spans="1:10">
      <c r="A181" t="s">
        <v>98</v>
      </c>
      <c r="B181" t="s">
        <v>26</v>
      </c>
      <c r="C181" t="s">
        <v>23</v>
      </c>
      <c r="D181" t="s">
        <v>13</v>
      </c>
      <c r="E181">
        <v>1624.12</v>
      </c>
      <c r="F181">
        <v>16</v>
      </c>
      <c r="G181">
        <v>0.05</v>
      </c>
      <c r="H181" t="s">
        <v>208</v>
      </c>
      <c r="I181">
        <v>682.12</v>
      </c>
      <c r="J181" t="s">
        <v>15</v>
      </c>
    </row>
    <row r="182" spans="1:10">
      <c r="A182" t="s">
        <v>50</v>
      </c>
      <c r="B182" t="s">
        <v>17</v>
      </c>
      <c r="C182" t="s">
        <v>31</v>
      </c>
      <c r="D182" t="s">
        <v>38</v>
      </c>
      <c r="E182">
        <v>986.15</v>
      </c>
      <c r="F182">
        <v>18</v>
      </c>
      <c r="G182">
        <v>0.2</v>
      </c>
      <c r="H182" t="s">
        <v>209</v>
      </c>
      <c r="I182">
        <v>314.17</v>
      </c>
      <c r="J182" t="s">
        <v>15</v>
      </c>
    </row>
    <row r="183" spans="1:10">
      <c r="A183" t="s">
        <v>65</v>
      </c>
      <c r="B183" t="s">
        <v>118</v>
      </c>
      <c r="C183" t="s">
        <v>23</v>
      </c>
      <c r="D183" t="s">
        <v>24</v>
      </c>
      <c r="E183">
        <v>796.24</v>
      </c>
      <c r="F183">
        <v>6</v>
      </c>
      <c r="G183">
        <v>0.05</v>
      </c>
      <c r="H183" t="s">
        <v>210</v>
      </c>
      <c r="I183">
        <v>288.81</v>
      </c>
      <c r="J183" t="s">
        <v>15</v>
      </c>
    </row>
    <row r="184" spans="1:10">
      <c r="A184" t="s">
        <v>146</v>
      </c>
      <c r="B184" t="s">
        <v>81</v>
      </c>
      <c r="C184" t="s">
        <v>12</v>
      </c>
      <c r="D184" t="s">
        <v>19</v>
      </c>
      <c r="E184">
        <v>778.23</v>
      </c>
      <c r="F184">
        <v>8</v>
      </c>
      <c r="G184">
        <v>0.15</v>
      </c>
      <c r="H184" t="s">
        <v>140</v>
      </c>
      <c r="I184">
        <v>159.91</v>
      </c>
      <c r="J184" t="s">
        <v>15</v>
      </c>
    </row>
    <row r="185" spans="1:10">
      <c r="A185" t="s">
        <v>48</v>
      </c>
      <c r="B185" t="s">
        <v>81</v>
      </c>
      <c r="C185" t="s">
        <v>23</v>
      </c>
      <c r="D185" t="s">
        <v>24</v>
      </c>
      <c r="E185">
        <v>596.79</v>
      </c>
      <c r="F185">
        <v>16</v>
      </c>
      <c r="G185">
        <v>0.05</v>
      </c>
      <c r="H185" t="s">
        <v>211</v>
      </c>
      <c r="I185">
        <v>193.06</v>
      </c>
      <c r="J185" t="s">
        <v>15</v>
      </c>
    </row>
    <row r="186" spans="1:10">
      <c r="A186" t="s">
        <v>45</v>
      </c>
      <c r="B186" t="s">
        <v>81</v>
      </c>
      <c r="C186" t="s">
        <v>27</v>
      </c>
      <c r="D186" t="s">
        <v>13</v>
      </c>
      <c r="E186">
        <v>1378.28</v>
      </c>
      <c r="F186">
        <v>17</v>
      </c>
      <c r="G186">
        <v>0.2</v>
      </c>
      <c r="H186" t="s">
        <v>212</v>
      </c>
      <c r="I186">
        <v>564.93</v>
      </c>
      <c r="J186" t="s">
        <v>15</v>
      </c>
    </row>
    <row r="187" spans="1:10">
      <c r="A187" t="s">
        <v>39</v>
      </c>
      <c r="B187" t="s">
        <v>71</v>
      </c>
      <c r="C187" t="s">
        <v>18</v>
      </c>
      <c r="D187" t="s">
        <v>61</v>
      </c>
      <c r="E187">
        <v>1515.85</v>
      </c>
      <c r="F187">
        <v>2</v>
      </c>
      <c r="G187">
        <v>0.15</v>
      </c>
      <c r="H187" t="s">
        <v>205</v>
      </c>
      <c r="I187">
        <v>434.08</v>
      </c>
      <c r="J187" t="s">
        <v>15</v>
      </c>
    </row>
    <row r="188" spans="1:10">
      <c r="A188" t="s">
        <v>29</v>
      </c>
      <c r="B188" t="s">
        <v>51</v>
      </c>
      <c r="C188" t="s">
        <v>12</v>
      </c>
      <c r="D188" t="s">
        <v>13</v>
      </c>
      <c r="E188">
        <v>371.62</v>
      </c>
      <c r="F188">
        <v>6</v>
      </c>
      <c r="G188">
        <v>0.1</v>
      </c>
      <c r="H188" t="s">
        <v>213</v>
      </c>
      <c r="I188">
        <v>145.52</v>
      </c>
      <c r="J188" t="s">
        <v>15</v>
      </c>
    </row>
    <row r="189" spans="1:10">
      <c r="A189" t="s">
        <v>50</v>
      </c>
      <c r="B189" t="s">
        <v>54</v>
      </c>
      <c r="C189" t="s">
        <v>12</v>
      </c>
      <c r="D189" t="s">
        <v>61</v>
      </c>
      <c r="E189">
        <v>1434.22</v>
      </c>
      <c r="F189">
        <v>12</v>
      </c>
      <c r="G189">
        <v>0</v>
      </c>
      <c r="H189" t="s">
        <v>214</v>
      </c>
      <c r="I189">
        <v>195.02</v>
      </c>
      <c r="J189" t="s">
        <v>15</v>
      </c>
    </row>
    <row r="190" spans="1:10">
      <c r="A190" t="s">
        <v>88</v>
      </c>
      <c r="B190" t="s">
        <v>30</v>
      </c>
      <c r="C190" t="s">
        <v>23</v>
      </c>
      <c r="D190" t="s">
        <v>19</v>
      </c>
      <c r="E190">
        <v>1692.06</v>
      </c>
      <c r="F190">
        <v>12</v>
      </c>
      <c r="G190">
        <v>0.05</v>
      </c>
      <c r="H190" t="s">
        <v>108</v>
      </c>
      <c r="I190">
        <v>364.82</v>
      </c>
      <c r="J190" t="s">
        <v>15</v>
      </c>
    </row>
    <row r="191" spans="1:10">
      <c r="A191" t="s">
        <v>29</v>
      </c>
      <c r="B191" t="s">
        <v>46</v>
      </c>
      <c r="C191" t="s">
        <v>23</v>
      </c>
      <c r="D191" t="s">
        <v>61</v>
      </c>
      <c r="E191">
        <v>305.54</v>
      </c>
      <c r="F191">
        <v>16</v>
      </c>
      <c r="G191">
        <v>0.05</v>
      </c>
      <c r="H191" t="s">
        <v>215</v>
      </c>
      <c r="I191">
        <v>77.78</v>
      </c>
      <c r="J191" t="s">
        <v>15</v>
      </c>
    </row>
  </sheetData>
  <conditionalFormatting sqref="E2:E191">
    <cfRule type="top10" dxfId="0" priority="1" rank="10"/>
  </conditionalFormatting>
  <conditionalFormatting sqref="I2:I19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"/>
    </sheetView>
  </sheetViews>
  <sheetFormatPr defaultColWidth="9" defaultRowHeight="14.5" outlineLevelCol="1"/>
  <cols>
    <col min="1" max="1" width="28" customWidth="1"/>
    <col min="2" max="2" width="30" customWidth="1"/>
  </cols>
  <sheetData>
    <row r="1" ht="21" spans="1:1">
      <c r="A1" s="2" t="s">
        <v>216</v>
      </c>
    </row>
    <row r="3" spans="1:2">
      <c r="A3" t="s">
        <v>217</v>
      </c>
      <c r="B3">
        <f>SUM(Dataset!E2:E191)</f>
        <v>188740.93</v>
      </c>
    </row>
    <row r="4" spans="1:2">
      <c r="A4" t="s">
        <v>218</v>
      </c>
      <c r="B4">
        <f>SUM(Dataset!I2:I191)</f>
        <v>50267.04</v>
      </c>
    </row>
    <row r="5" spans="1:2">
      <c r="A5" t="s">
        <v>219</v>
      </c>
      <c r="B5">
        <f>AVERAGE(Dataset!E2:E191)</f>
        <v>993.373315789474</v>
      </c>
    </row>
    <row r="6" spans="1:2">
      <c r="A6" t="s">
        <v>220</v>
      </c>
      <c r="B6">
        <f>COUNTA(Dataset!A2:A191)</f>
        <v>190</v>
      </c>
    </row>
    <row r="8" spans="1:1">
      <c r="A8" t="s">
        <v>221</v>
      </c>
    </row>
    <row r="9" spans="1:2">
      <c r="A9" t="s">
        <v>222</v>
      </c>
      <c r="B9">
        <v>0.1</v>
      </c>
    </row>
    <row r="10" spans="1:2">
      <c r="A10" t="s">
        <v>223</v>
      </c>
      <c r="B10">
        <f>B3*(1+B9)</f>
        <v>207615.023</v>
      </c>
    </row>
    <row r="12" spans="1:2">
      <c r="A12" t="s">
        <v>224</v>
      </c>
      <c r="B12" t="str">
        <f>INDEX(Dataset!B2:B191,MATCH(MAX(Dataset!E2:E191),Dataset!E2:E191,0))</f>
        <v>Michael Anderson</v>
      </c>
    </row>
    <row r="14" spans="1:2">
      <c r="A14" t="s">
        <v>225</v>
      </c>
      <c r="B14" t="s">
        <v>226</v>
      </c>
    </row>
    <row r="16" spans="1:2">
      <c r="A16" t="s">
        <v>227</v>
      </c>
      <c r="B16">
        <f>MAX(Dataset!E2:E191)</f>
        <v>1692.97</v>
      </c>
    </row>
    <row r="17" spans="1:2">
      <c r="A17" t="s">
        <v>228</v>
      </c>
      <c r="B17">
        <f>MIN(Dataset!E2:E191)</f>
        <v>258.55</v>
      </c>
    </row>
    <row r="18" spans="1:2">
      <c r="A18" t="s">
        <v>229</v>
      </c>
      <c r="B18">
        <f>AVERAGE(Dataset!I2:I191)</f>
        <v>264.563368421053</v>
      </c>
    </row>
    <row r="19" spans="1:2">
      <c r="A19" t="s">
        <v>230</v>
      </c>
      <c r="B19">
        <f>STDEV(Dataset!E2:E191)</f>
        <v>436.413610634623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A1" sqref="A1"/>
    </sheetView>
  </sheetViews>
  <sheetFormatPr defaultColWidth="9" defaultRowHeight="14.5"/>
  <cols>
    <col min="1" max="1" width="19" customWidth="1"/>
    <col min="2" max="2" width="30" customWidth="1"/>
    <col min="3" max="7" width="8" customWidth="1"/>
    <col min="8" max="8" width="19" customWidth="1"/>
    <col min="9" max="9" width="9" customWidth="1"/>
  </cols>
  <sheetData>
    <row r="1" spans="1:1">
      <c r="A1" t="s">
        <v>231</v>
      </c>
    </row>
    <row r="2" spans="1:9">
      <c r="A2" t="s">
        <v>12</v>
      </c>
      <c r="B2">
        <f>SUMIF(Dataset!C:C,A2,Dataset!E:E)</f>
        <v>39725.97</v>
      </c>
      <c r="H2" t="s">
        <v>232</v>
      </c>
      <c r="I2" t="s">
        <v>4</v>
      </c>
    </row>
    <row r="3" spans="1:9">
      <c r="A3" t="s">
        <v>23</v>
      </c>
      <c r="B3">
        <f>SUMIF(Dataset!C:C,A3,Dataset!E:E)</f>
        <v>45152.09</v>
      </c>
      <c r="H3" t="s">
        <v>38</v>
      </c>
      <c r="I3">
        <v>24868</v>
      </c>
    </row>
    <row r="4" spans="1:9">
      <c r="A4" t="s">
        <v>31</v>
      </c>
      <c r="B4">
        <f>SUMIF(Dataset!C:C,A4,Dataset!E:E)</f>
        <v>40439.35</v>
      </c>
      <c r="H4" t="s">
        <v>61</v>
      </c>
      <c r="I4">
        <v>18992</v>
      </c>
    </row>
    <row r="5" spans="1:9">
      <c r="A5" t="s">
        <v>27</v>
      </c>
      <c r="B5">
        <f>SUMIF(Dataset!C:C,A5,Dataset!E:E)</f>
        <v>31362.94</v>
      </c>
      <c r="H5" t="s">
        <v>13</v>
      </c>
      <c r="I5">
        <v>16564</v>
      </c>
    </row>
    <row r="6" spans="1:9">
      <c r="A6" t="s">
        <v>18</v>
      </c>
      <c r="B6">
        <f>SUMIF(Dataset!C:C,A6,Dataset!E:E)</f>
        <v>32060.58</v>
      </c>
      <c r="H6" t="s">
        <v>19</v>
      </c>
      <c r="I6">
        <v>22813</v>
      </c>
    </row>
    <row r="7" spans="8:9">
      <c r="H7" t="s">
        <v>24</v>
      </c>
      <c r="I7">
        <v>28756</v>
      </c>
    </row>
    <row r="10" spans="1:2">
      <c r="A10" t="s">
        <v>233</v>
      </c>
      <c r="B10" t="s">
        <v>4</v>
      </c>
    </row>
    <row r="11" spans="1:2">
      <c r="A11" t="s">
        <v>234</v>
      </c>
      <c r="B11">
        <v>12172</v>
      </c>
    </row>
    <row r="12" spans="1:2">
      <c r="A12" t="s">
        <v>235</v>
      </c>
      <c r="B12">
        <v>14596</v>
      </c>
    </row>
    <row r="13" spans="1:2">
      <c r="A13" t="s">
        <v>236</v>
      </c>
      <c r="B13">
        <v>12622</v>
      </c>
    </row>
    <row r="14" spans="1:2">
      <c r="A14" t="s">
        <v>237</v>
      </c>
      <c r="B14">
        <v>20386</v>
      </c>
    </row>
    <row r="15" spans="1:2">
      <c r="A15" t="s">
        <v>238</v>
      </c>
      <c r="B15">
        <v>19066</v>
      </c>
    </row>
    <row r="16" spans="1:2">
      <c r="A16" t="s">
        <v>239</v>
      </c>
      <c r="B16">
        <v>16899</v>
      </c>
    </row>
    <row r="17" spans="1:2">
      <c r="A17" t="s">
        <v>240</v>
      </c>
      <c r="B17">
        <v>29983</v>
      </c>
    </row>
    <row r="18" spans="1:2">
      <c r="A18" t="s">
        <v>241</v>
      </c>
      <c r="B18">
        <v>29294</v>
      </c>
    </row>
    <row r="19" spans="1:2">
      <c r="A19" t="s">
        <v>242</v>
      </c>
      <c r="B19">
        <v>25869</v>
      </c>
    </row>
    <row r="20" spans="1:2">
      <c r="A20" t="s">
        <v>243</v>
      </c>
      <c r="B20">
        <v>15643</v>
      </c>
    </row>
    <row r="21" spans="1:2">
      <c r="A21" t="s">
        <v>244</v>
      </c>
      <c r="B21">
        <v>21440</v>
      </c>
    </row>
    <row r="22" spans="1:2">
      <c r="A22" t="s">
        <v>245</v>
      </c>
      <c r="B22">
        <v>19786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.5" outlineLevelRow="4" outlineLevelCol="1"/>
  <cols>
    <col min="1" max="1" width="30" customWidth="1"/>
    <col min="2" max="2" width="17" customWidth="1"/>
  </cols>
  <sheetData>
    <row r="1" ht="23.5" spans="1:1">
      <c r="A1" s="1" t="s">
        <v>246</v>
      </c>
    </row>
    <row r="3" spans="1:2">
      <c r="A3" t="s">
        <v>217</v>
      </c>
      <c r="B3">
        <f>Analysis!B3</f>
        <v>188740.93</v>
      </c>
    </row>
    <row r="4" spans="1:2">
      <c r="A4" t="s">
        <v>218</v>
      </c>
      <c r="B4">
        <f>Analysis!B4</f>
        <v>50267.04</v>
      </c>
    </row>
    <row r="5" spans="1:2">
      <c r="A5" t="s">
        <v>247</v>
      </c>
      <c r="B5" t="str">
        <f>Analysis!B12</f>
        <v>Michael Anderson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Dataset</vt:lpstr>
      <vt:lpstr>Analysis</vt:lpstr>
      <vt:lpstr>Pivot_Report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Waghmashi</cp:lastModifiedBy>
  <dcterms:created xsi:type="dcterms:W3CDTF">2026-05-15T14:52:00Z</dcterms:created>
  <dcterms:modified xsi:type="dcterms:W3CDTF">2026-05-15T14:57:01Z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BD5A020732F94EBE946DC5816422D7D4_12</vt:lpwstr>
  </property>
  <property fmtid="{D5CDD505-2E9C-101B-9397-08002B2CF9AE}" pid="3" name="KSOProductBuildVer">
    <vt:lpwstr>2057-12.2.0.23197</vt:lpwstr>
  </property>
</Properties>
</file>