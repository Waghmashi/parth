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920"/>
  </bookViews>
  <sheets>
    <sheet name="Final Project Dataset" sheetId="1" r:id="rId1"/>
    <sheet name="Analysis" sheetId="2" r:id="rId2"/>
    <sheet name="Visualizations" sheetId="3" r:id="rId3"/>
    <sheet name="Dashboar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<sst xmlns="http://schemas.openxmlformats.org/spreadsheetml/2006/main" count="2873" uniqueCount="739">
  <si>
    <t>Transaction_ID</t>
  </si>
  <si>
    <t>Date</t>
  </si>
  <si>
    <t>Customer_ID</t>
  </si>
  <si>
    <t>Customer_Name</t>
  </si>
  <si>
    <t>Product_ID</t>
  </si>
  <si>
    <t>Product_Name</t>
  </si>
  <si>
    <t>Category</t>
  </si>
  <si>
    <t>Quantity</t>
  </si>
  <si>
    <t>Unit_Price</t>
  </si>
  <si>
    <t>Payment_Method</t>
  </si>
  <si>
    <t>Region</t>
  </si>
  <si>
    <t>Customer_Segment</t>
  </si>
  <si>
    <t>Customer_Since</t>
  </si>
  <si>
    <t>Total_Amount</t>
  </si>
  <si>
    <t>Timestamp</t>
  </si>
  <si>
    <t>Month</t>
  </si>
  <si>
    <t>Year</t>
  </si>
  <si>
    <t>Customer_Years</t>
  </si>
  <si>
    <t>TRX0001</t>
  </si>
  <si>
    <t>2024-10-30</t>
  </si>
  <si>
    <t>CUST005</t>
  </si>
  <si>
    <t>Arthur Edwards</t>
  </si>
  <si>
    <t>P006</t>
  </si>
  <si>
    <t>Office Chair</t>
  </si>
  <si>
    <t>Furniture</t>
  </si>
  <si>
    <t>Cash</t>
  </si>
  <si>
    <t>East</t>
  </si>
  <si>
    <t>Premium</t>
  </si>
  <si>
    <t>2021-04-09</t>
  </si>
  <si>
    <t>2026-05-15 15:09:00</t>
  </si>
  <si>
    <t>Oct</t>
  </si>
  <si>
    <t>TRX0002</t>
  </si>
  <si>
    <t>2024-07-29</t>
  </si>
  <si>
    <t>CUST006</t>
  </si>
  <si>
    <t>Mark Carter</t>
  </si>
  <si>
    <t>P001</t>
  </si>
  <si>
    <t>Laptop</t>
  </si>
  <si>
    <t>Electronics</t>
  </si>
  <si>
    <t>PayPal</t>
  </si>
  <si>
    <t>North</t>
  </si>
  <si>
    <t>Basic</t>
  </si>
  <si>
    <t>2021-03-18</t>
  </si>
  <si>
    <t>Jul</t>
  </si>
  <si>
    <t>TRX0003</t>
  </si>
  <si>
    <t>2024-11-14</t>
  </si>
  <si>
    <t>CUST037</t>
  </si>
  <si>
    <t>Kathleen Bennett</t>
  </si>
  <si>
    <t>P002</t>
  </si>
  <si>
    <t>Smartphone</t>
  </si>
  <si>
    <t>Credit Card</t>
  </si>
  <si>
    <t>Central</t>
  </si>
  <si>
    <t>2021-05-02</t>
  </si>
  <si>
    <t>Nov</t>
  </si>
  <si>
    <t>TRX0004</t>
  </si>
  <si>
    <t>2024-10-31</t>
  </si>
  <si>
    <t>CUST015</t>
  </si>
  <si>
    <t>Joseph Jackson</t>
  </si>
  <si>
    <t>P010</t>
  </si>
  <si>
    <t>Keyboard</t>
  </si>
  <si>
    <t>Standard</t>
  </si>
  <si>
    <t>2021-04-12</t>
  </si>
  <si>
    <t>TRX0005</t>
  </si>
  <si>
    <t>2024-06-10</t>
  </si>
  <si>
    <t>CUST020</t>
  </si>
  <si>
    <t>Patricia Moore</t>
  </si>
  <si>
    <t>P003</t>
  </si>
  <si>
    <t>Headphones</t>
  </si>
  <si>
    <t>2024-03-15</t>
  </si>
  <si>
    <t>Jun</t>
  </si>
  <si>
    <t>TRX0006</t>
  </si>
  <si>
    <t>2024-10-18</t>
  </si>
  <si>
    <t>CUST036</t>
  </si>
  <si>
    <t>Margaret Wright</t>
  </si>
  <si>
    <t>2021-07-19</t>
  </si>
  <si>
    <t>TRX0007</t>
  </si>
  <si>
    <t>2024-12-21</t>
  </si>
  <si>
    <t>CUST028</t>
  </si>
  <si>
    <t>Daniel King</t>
  </si>
  <si>
    <t>Debit Card</t>
  </si>
  <si>
    <t>West</t>
  </si>
  <si>
    <t>2023-12-25</t>
  </si>
  <si>
    <t>Dec</t>
  </si>
  <si>
    <t>TRX0008</t>
  </si>
  <si>
    <t>2024-09-11</t>
  </si>
  <si>
    <t>CUST012</t>
  </si>
  <si>
    <t>P008</t>
  </si>
  <si>
    <t>Bookshelf</t>
  </si>
  <si>
    <t>2022-05-24</t>
  </si>
  <si>
    <t>Sep</t>
  </si>
  <si>
    <t>TRX0009</t>
  </si>
  <si>
    <t>2024-12-20</t>
  </si>
  <si>
    <t>CUST047</t>
  </si>
  <si>
    <t>Maria Garcia</t>
  </si>
  <si>
    <t>P005</t>
  </si>
  <si>
    <t>Blender</t>
  </si>
  <si>
    <t>Appliances</t>
  </si>
  <si>
    <t>2022-12-05</t>
  </si>
  <si>
    <t>TRX0010</t>
  </si>
  <si>
    <t>2024-11-11</t>
  </si>
  <si>
    <t>CUST049</t>
  </si>
  <si>
    <t>Peter Richardson</t>
  </si>
  <si>
    <t>2021-12-04</t>
  </si>
  <si>
    <t>TRX0011</t>
  </si>
  <si>
    <t>2025-01-21</t>
  </si>
  <si>
    <t>CUST021</t>
  </si>
  <si>
    <t>2024-03-19</t>
  </si>
  <si>
    <t>Jan</t>
  </si>
  <si>
    <t>TRX0012</t>
  </si>
  <si>
    <t>2024-05-16</t>
  </si>
  <si>
    <t>CUST018</t>
  </si>
  <si>
    <t>Virginia Sanders</t>
  </si>
  <si>
    <t>2021-07-11</t>
  </si>
  <si>
    <t>May</t>
  </si>
  <si>
    <t>TRX0013</t>
  </si>
  <si>
    <t>2024-11-25</t>
  </si>
  <si>
    <t>CUST046</t>
  </si>
  <si>
    <t>George Adams</t>
  </si>
  <si>
    <t>2022-08-06</t>
  </si>
  <si>
    <t>TRX0014</t>
  </si>
  <si>
    <t>2025-02-17</t>
  </si>
  <si>
    <t>CUST032</t>
  </si>
  <si>
    <t>2021-08-28</t>
  </si>
  <si>
    <t>Feb</t>
  </si>
  <si>
    <t>TRX0015</t>
  </si>
  <si>
    <t>2024-10-28</t>
  </si>
  <si>
    <t>Dorothy Nelson</t>
  </si>
  <si>
    <t>P004</t>
  </si>
  <si>
    <t>Coffee Maker</t>
  </si>
  <si>
    <t>2023-10-14</t>
  </si>
  <si>
    <t>TRX0016</t>
  </si>
  <si>
    <t>2024-11-17</t>
  </si>
  <si>
    <t>2024-02-01</t>
  </si>
  <si>
    <t>TRX0017</t>
  </si>
  <si>
    <t>2024-06-27</t>
  </si>
  <si>
    <t>Michael Brown</t>
  </si>
  <si>
    <t>P007</t>
  </si>
  <si>
    <t>Desk</t>
  </si>
  <si>
    <t>South</t>
  </si>
  <si>
    <t>2021-06-19</t>
  </si>
  <si>
    <t>TRX0018</t>
  </si>
  <si>
    <t>2024-07-13</t>
  </si>
  <si>
    <t>CUST019</t>
  </si>
  <si>
    <t>Paul Baker</t>
  </si>
  <si>
    <t>2022-06-23</t>
  </si>
  <si>
    <t>TRX0019</t>
  </si>
  <si>
    <t>2025-01-25</t>
  </si>
  <si>
    <t>CUST009</t>
  </si>
  <si>
    <t>2022-10-15</t>
  </si>
  <si>
    <t>TRX0020</t>
  </si>
  <si>
    <t>CUST026</t>
  </si>
  <si>
    <t>P009</t>
  </si>
  <si>
    <t>Monitor</t>
  </si>
  <si>
    <t>2023-03-29</t>
  </si>
  <si>
    <t>TRX0021</t>
  </si>
  <si>
    <t>2024-07-26</t>
  </si>
  <si>
    <t>CUST011</t>
  </si>
  <si>
    <t>2023-06-22</t>
  </si>
  <si>
    <t>TRX0022</t>
  </si>
  <si>
    <t>2025-01-26</t>
  </si>
  <si>
    <t>CUST035</t>
  </si>
  <si>
    <t>2021-11-06</t>
  </si>
  <si>
    <t>TRX0023</t>
  </si>
  <si>
    <t>2025-02-19</t>
  </si>
  <si>
    <t>CUST010</t>
  </si>
  <si>
    <t>Steven Turner</t>
  </si>
  <si>
    <t>2023-02-10</t>
  </si>
  <si>
    <t>TRX0024</t>
  </si>
  <si>
    <t>2024-06-12</t>
  </si>
  <si>
    <t>2021-08-25</t>
  </si>
  <si>
    <t>TRX0025</t>
  </si>
  <si>
    <t>2024-06-02</t>
  </si>
  <si>
    <t>CUST048</t>
  </si>
  <si>
    <t>Karen Hill</t>
  </si>
  <si>
    <t>2022-12-03</t>
  </si>
  <si>
    <t>TRX0026</t>
  </si>
  <si>
    <t>2025-01-06</t>
  </si>
  <si>
    <t>2023-01-11</t>
  </si>
  <si>
    <t>TRX0027</t>
  </si>
  <si>
    <t>2025-01-01</t>
  </si>
  <si>
    <t>Dennis Gray</t>
  </si>
  <si>
    <t>2023-01-22</t>
  </si>
  <si>
    <t>TRX0028</t>
  </si>
  <si>
    <t>2024-08-03</t>
  </si>
  <si>
    <t>CUST016</t>
  </si>
  <si>
    <t>2022-02-04</t>
  </si>
  <si>
    <t>Aug</t>
  </si>
  <si>
    <t>TRX0029</t>
  </si>
  <si>
    <t>2024-10-10</t>
  </si>
  <si>
    <t>CUST002</t>
  </si>
  <si>
    <t>William White</t>
  </si>
  <si>
    <t>2021-03-01</t>
  </si>
  <si>
    <t>TRX0030</t>
  </si>
  <si>
    <t>2024-10-04</t>
  </si>
  <si>
    <t>2023-07-05</t>
  </si>
  <si>
    <t>TRX0031</t>
  </si>
  <si>
    <t>2024-12-07</t>
  </si>
  <si>
    <t>CUST022</t>
  </si>
  <si>
    <t>Charles Allen</t>
  </si>
  <si>
    <t>2022-02-07</t>
  </si>
  <si>
    <t>TRX0032</t>
  </si>
  <si>
    <t>CUST043</t>
  </si>
  <si>
    <t>2021-06-23</t>
  </si>
  <si>
    <t>TRX0033</t>
  </si>
  <si>
    <t>2024-09-28</t>
  </si>
  <si>
    <t>2021-06-27</t>
  </si>
  <si>
    <t>TRX0034</t>
  </si>
  <si>
    <t>2024-07-07</t>
  </si>
  <si>
    <t>2021-09-18</t>
  </si>
  <si>
    <t>TRX0035</t>
  </si>
  <si>
    <t>2024-10-07</t>
  </si>
  <si>
    <t>2021-11-16</t>
  </si>
  <si>
    <t>TRX0036</t>
  </si>
  <si>
    <t>2024-06-21</t>
  </si>
  <si>
    <t>CUST013</t>
  </si>
  <si>
    <t>2023-06-08</t>
  </si>
  <si>
    <t>TRX0037</t>
  </si>
  <si>
    <t>2024-12-23</t>
  </si>
  <si>
    <t>Cynthia Price</t>
  </si>
  <si>
    <t>2022-05-08</t>
  </si>
  <si>
    <t>TRX0038</t>
  </si>
  <si>
    <t>2024-05-12</t>
  </si>
  <si>
    <t>CUST030</t>
  </si>
  <si>
    <t>Gerald Murphy</t>
  </si>
  <si>
    <t>2022-12-26</t>
  </si>
  <si>
    <t>TRX0039</t>
  </si>
  <si>
    <t>2025-01-04</t>
  </si>
  <si>
    <t>Betty Campbell</t>
  </si>
  <si>
    <t>2023-11-12</t>
  </si>
  <si>
    <t>TRX0040</t>
  </si>
  <si>
    <t>2024-07-08</t>
  </si>
  <si>
    <t>CUST031</t>
  </si>
  <si>
    <t>Nancy Collins</t>
  </si>
  <si>
    <t>2021-10-17</t>
  </si>
  <si>
    <t>TRX0041</t>
  </si>
  <si>
    <t>2025-01-07</t>
  </si>
  <si>
    <t>2024-02-12</t>
  </si>
  <si>
    <t>TRX0042</t>
  </si>
  <si>
    <t>2024-08-30</t>
  </si>
  <si>
    <t>CUST050</t>
  </si>
  <si>
    <t>2021-03-28</t>
  </si>
  <si>
    <t>TRX0043</t>
  </si>
  <si>
    <t>2024-09-24</t>
  </si>
  <si>
    <t>CUST039</t>
  </si>
  <si>
    <t>Barbara Young</t>
  </si>
  <si>
    <t>2023-11-02</t>
  </si>
  <si>
    <t>TRX0044</t>
  </si>
  <si>
    <t>2024-12-11</t>
  </si>
  <si>
    <t>2023-11-06</t>
  </si>
  <si>
    <t>TRX0045</t>
  </si>
  <si>
    <t>2024-11-10</t>
  </si>
  <si>
    <t>2021-09-07</t>
  </si>
  <si>
    <t>TRX0046</t>
  </si>
  <si>
    <t>2024-05-18</t>
  </si>
  <si>
    <t>Susan Green</t>
  </si>
  <si>
    <t>2022-03-12</t>
  </si>
  <si>
    <t>TRX0047</t>
  </si>
  <si>
    <t>2024-08-18</t>
  </si>
  <si>
    <t>Robert Thomas</t>
  </si>
  <si>
    <t>2021-10-09</t>
  </si>
  <si>
    <t>TRX0048</t>
  </si>
  <si>
    <t>2024-07-02</t>
  </si>
  <si>
    <t>CUST033</t>
  </si>
  <si>
    <t>2023-06-03</t>
  </si>
  <si>
    <t>TRX0049</t>
  </si>
  <si>
    <t>2024-05-28</t>
  </si>
  <si>
    <t>2023-01-20</t>
  </si>
  <si>
    <t>TRX0050</t>
  </si>
  <si>
    <t>2024-09-27</t>
  </si>
  <si>
    <t>CUST040</t>
  </si>
  <si>
    <t>2023-11-26</t>
  </si>
  <si>
    <t>TRX0051</t>
  </si>
  <si>
    <t>2024-08-24</t>
  </si>
  <si>
    <t>CUST003</t>
  </si>
  <si>
    <t>Helen Roberts</t>
  </si>
  <si>
    <t>2022-07-11</t>
  </si>
  <si>
    <t>TRX0052</t>
  </si>
  <si>
    <t>2024-11-04</t>
  </si>
  <si>
    <t>Raymond Ross</t>
  </si>
  <si>
    <t>2021-11-02</t>
  </si>
  <si>
    <t>TRX0053</t>
  </si>
  <si>
    <t>2023-05-22</t>
  </si>
  <si>
    <t>TRX0054</t>
  </si>
  <si>
    <t>2024-08-02</t>
  </si>
  <si>
    <t>CUST017</t>
  </si>
  <si>
    <t>2021-05-17</t>
  </si>
  <si>
    <t>TRX0055</t>
  </si>
  <si>
    <t>2022-07-03</t>
  </si>
  <si>
    <t>TRX0056</t>
  </si>
  <si>
    <t>CUST004</t>
  </si>
  <si>
    <t>2022-06-21</t>
  </si>
  <si>
    <t>TRX0057</t>
  </si>
  <si>
    <t>2024-07-25</t>
  </si>
  <si>
    <t>CUST029</t>
  </si>
  <si>
    <t>2022-08-17</t>
  </si>
  <si>
    <t>TRX0058</t>
  </si>
  <si>
    <t>2024-04-29</t>
  </si>
  <si>
    <t>Jennifer Taylor</t>
  </si>
  <si>
    <t>2021-02-01</t>
  </si>
  <si>
    <t>Apr</t>
  </si>
  <si>
    <t>TRX0059</t>
  </si>
  <si>
    <t>2024-06-04</t>
  </si>
  <si>
    <t>2023-06-05</t>
  </si>
  <si>
    <t>TRX0060</t>
  </si>
  <si>
    <t>2024-10-03</t>
  </si>
  <si>
    <t>2022-02-11</t>
  </si>
  <si>
    <t>TRX0061</t>
  </si>
  <si>
    <t>2024-04-18</t>
  </si>
  <si>
    <t>CUST041</t>
  </si>
  <si>
    <t>2021-05-25</t>
  </si>
  <si>
    <t>TRX0062</t>
  </si>
  <si>
    <t>2024-10-23</t>
  </si>
  <si>
    <t>2023-11-03</t>
  </si>
  <si>
    <t>TRX0063</t>
  </si>
  <si>
    <t>2024-06-30</t>
  </si>
  <si>
    <t>2022-07-05</t>
  </si>
  <si>
    <t>TRX0064</t>
  </si>
  <si>
    <t>2024-08-14</t>
  </si>
  <si>
    <t>2021-03-12</t>
  </si>
  <si>
    <t>TRX0065</t>
  </si>
  <si>
    <t>2024-05-23</t>
  </si>
  <si>
    <t>2023-08-31</t>
  </si>
  <si>
    <t>TRX0066</t>
  </si>
  <si>
    <t>2021-07-03</t>
  </si>
  <si>
    <t>TRX0067</t>
  </si>
  <si>
    <t>2024-08-08</t>
  </si>
  <si>
    <t>CUST038</t>
  </si>
  <si>
    <t>TRX0068</t>
  </si>
  <si>
    <t>2024-06-26</t>
  </si>
  <si>
    <t>2022-08-05</t>
  </si>
  <si>
    <t>TRX0069</t>
  </si>
  <si>
    <t>2024-12-25</t>
  </si>
  <si>
    <t>CUST034</t>
  </si>
  <si>
    <t>2021-10-13</t>
  </si>
  <si>
    <t>TRX0070</t>
  </si>
  <si>
    <t>2024-04-26</t>
  </si>
  <si>
    <t>2021-03-27</t>
  </si>
  <si>
    <t>TRX0071</t>
  </si>
  <si>
    <t>2024-05-06</t>
  </si>
  <si>
    <t>2021-02-08</t>
  </si>
  <si>
    <t>TRX0072</t>
  </si>
  <si>
    <t>Kevin Scott</t>
  </si>
  <si>
    <t>2023-10-28</t>
  </si>
  <si>
    <t>TRX0073</t>
  </si>
  <si>
    <t>2024-08-09</t>
  </si>
  <si>
    <t>2022-02-25</t>
  </si>
  <si>
    <t>TRX0074</t>
  </si>
  <si>
    <t>2024-09-05</t>
  </si>
  <si>
    <t>2021-04-06</t>
  </si>
  <si>
    <t>TRX0075</t>
  </si>
  <si>
    <t>2024-08-19</t>
  </si>
  <si>
    <t>2022-09-16</t>
  </si>
  <si>
    <t>TRX0076</t>
  </si>
  <si>
    <t>2024-08-26</t>
  </si>
  <si>
    <t>CUST045</t>
  </si>
  <si>
    <t>2021-07-23</t>
  </si>
  <si>
    <t>TRX0077</t>
  </si>
  <si>
    <t>2024-12-04</t>
  </si>
  <si>
    <t>2023-08-13</t>
  </si>
  <si>
    <t>TRX0078</t>
  </si>
  <si>
    <t>2024-12-09</t>
  </si>
  <si>
    <t>2021-02-05</t>
  </si>
  <si>
    <t>TRX0079</t>
  </si>
  <si>
    <t>2024-07-27</t>
  </si>
  <si>
    <t>2022-03-08</t>
  </si>
  <si>
    <t>TRX0080</t>
  </si>
  <si>
    <t>2024-10-12</t>
  </si>
  <si>
    <t>2021-09-29</t>
  </si>
  <si>
    <t>TRX0081</t>
  </si>
  <si>
    <t>2023-09-23</t>
  </si>
  <si>
    <t>TRX0082</t>
  </si>
  <si>
    <t>2024-09-12</t>
  </si>
  <si>
    <t>CUST027</t>
  </si>
  <si>
    <t>2021-10-16</t>
  </si>
  <si>
    <t>TRX0083</t>
  </si>
  <si>
    <t>2022-11-24</t>
  </si>
  <si>
    <t>TRX0084</t>
  </si>
  <si>
    <t>2021-05-14</t>
  </si>
  <si>
    <t>TRX0085</t>
  </si>
  <si>
    <t>2024-09-01</t>
  </si>
  <si>
    <t>2021-07-28</t>
  </si>
  <si>
    <t>TRX0086</t>
  </si>
  <si>
    <t>2024-12-28</t>
  </si>
  <si>
    <t>2022-10-09</t>
  </si>
  <si>
    <t>TRX0087</t>
  </si>
  <si>
    <t>2025-01-17</t>
  </si>
  <si>
    <t>2022-02-21</t>
  </si>
  <si>
    <t>TRX0088</t>
  </si>
  <si>
    <t>2024-09-04</t>
  </si>
  <si>
    <t>2023-09-22</t>
  </si>
  <si>
    <t>TRX0089</t>
  </si>
  <si>
    <t>2024-09-02</t>
  </si>
  <si>
    <t>2022-09-02</t>
  </si>
  <si>
    <t>TRX0090</t>
  </si>
  <si>
    <t>2024-12-14</t>
  </si>
  <si>
    <t>2024-02-16</t>
  </si>
  <si>
    <t>TRX0091</t>
  </si>
  <si>
    <t>2023-10-23</t>
  </si>
  <si>
    <t>TRX0092</t>
  </si>
  <si>
    <t>2024-01-27</t>
  </si>
  <si>
    <t>TRX0093</t>
  </si>
  <si>
    <t>2024-09-21</t>
  </si>
  <si>
    <t>CUST024</t>
  </si>
  <si>
    <t>2022-05-05</t>
  </si>
  <si>
    <t>TRX0094</t>
  </si>
  <si>
    <t>2024-11-08</t>
  </si>
  <si>
    <t>CUST014</t>
  </si>
  <si>
    <t>2023-12-10</t>
  </si>
  <si>
    <t>TRX0095</t>
  </si>
  <si>
    <t>2025-01-30</t>
  </si>
  <si>
    <t>2023-01-08</t>
  </si>
  <si>
    <t>TRX0096</t>
  </si>
  <si>
    <t>2024-11-01</t>
  </si>
  <si>
    <t>2023-07-03</t>
  </si>
  <si>
    <t>TRX0097</t>
  </si>
  <si>
    <t>2025-02-05</t>
  </si>
  <si>
    <t>CUST001</t>
  </si>
  <si>
    <t>2023-10-01</t>
  </si>
  <si>
    <t>TRX0098</t>
  </si>
  <si>
    <t>2024-06-05</t>
  </si>
  <si>
    <t>2022-04-04</t>
  </si>
  <si>
    <t>TRX0099</t>
  </si>
  <si>
    <t>2024-04-11</t>
  </si>
  <si>
    <t>2021-09-15</t>
  </si>
  <si>
    <t>TRX0100</t>
  </si>
  <si>
    <t>2024-11-20</t>
  </si>
  <si>
    <t>CUST007</t>
  </si>
  <si>
    <t>2021-08-18</t>
  </si>
  <si>
    <t>TRX0101</t>
  </si>
  <si>
    <t>2024-08-22</t>
  </si>
  <si>
    <t>2022-04-03</t>
  </si>
  <si>
    <t>TRX0102</t>
  </si>
  <si>
    <t>2024-09-19</t>
  </si>
  <si>
    <t>2022-05-12</t>
  </si>
  <si>
    <t>TRX0103</t>
  </si>
  <si>
    <t>2024-09-15</t>
  </si>
  <si>
    <t>2021-04-24</t>
  </si>
  <si>
    <t>TRX0104</t>
  </si>
  <si>
    <t>2023-01-29</t>
  </si>
  <si>
    <t>TRX0105</t>
  </si>
  <si>
    <t>2022-02-10</t>
  </si>
  <si>
    <t>TRX0106</t>
  </si>
  <si>
    <t>2024-07-22</t>
  </si>
  <si>
    <t>2022-10-01</t>
  </si>
  <si>
    <t>TRX0107</t>
  </si>
  <si>
    <t>2024-09-09</t>
  </si>
  <si>
    <t>2021-08-12</t>
  </si>
  <si>
    <t>TRX0108</t>
  </si>
  <si>
    <t>2025-02-09</t>
  </si>
  <si>
    <t>2021-10-27</t>
  </si>
  <si>
    <t>TRX0109</t>
  </si>
  <si>
    <t>2024-05-07</t>
  </si>
  <si>
    <t>2021-05-04</t>
  </si>
  <si>
    <t>TRX0110</t>
  </si>
  <si>
    <t>2024-07-04</t>
  </si>
  <si>
    <t>2022-11-06</t>
  </si>
  <si>
    <t>TRX0111</t>
  </si>
  <si>
    <t>2023-06-26</t>
  </si>
  <si>
    <t>TRX0112</t>
  </si>
  <si>
    <t>2024-11-12</t>
  </si>
  <si>
    <t>2021-09-11</t>
  </si>
  <si>
    <t>TRX0113</t>
  </si>
  <si>
    <t>2024-05-25</t>
  </si>
  <si>
    <t>2021-04-11</t>
  </si>
  <si>
    <t>TRX0114</t>
  </si>
  <si>
    <t>2024-09-23</t>
  </si>
  <si>
    <t>2023-01-16</t>
  </si>
  <si>
    <t>TRX0115</t>
  </si>
  <si>
    <t>CUST025</t>
  </si>
  <si>
    <t>2021-03-25</t>
  </si>
  <si>
    <t>TRX0116</t>
  </si>
  <si>
    <t>2024-05-13</t>
  </si>
  <si>
    <t>2022-11-26</t>
  </si>
  <si>
    <t>TRX0117</t>
  </si>
  <si>
    <t>TRX0118</t>
  </si>
  <si>
    <t>2024-12-05</t>
  </si>
  <si>
    <t>2023-03-03</t>
  </si>
  <si>
    <t>TRX0119</t>
  </si>
  <si>
    <t>2024-04-15</t>
  </si>
  <si>
    <t>2022-09-14</t>
  </si>
  <si>
    <t>TRX0120</t>
  </si>
  <si>
    <t>2024-12-02</t>
  </si>
  <si>
    <t>2023-01-12</t>
  </si>
  <si>
    <t>TRX0121</t>
  </si>
  <si>
    <t>2024-05-14</t>
  </si>
  <si>
    <t>2021-03-11</t>
  </si>
  <si>
    <t>TRX0122</t>
  </si>
  <si>
    <t>2021-06-22</t>
  </si>
  <si>
    <t>TRX0123</t>
  </si>
  <si>
    <t>2021-09-30</t>
  </si>
  <si>
    <t>TRX0124</t>
  </si>
  <si>
    <t>2024-09-08</t>
  </si>
  <si>
    <t>2022-07-27</t>
  </si>
  <si>
    <t>TRX0125</t>
  </si>
  <si>
    <t>2024-11-21</t>
  </si>
  <si>
    <t>2022-05-22</t>
  </si>
  <si>
    <t>TRX0126</t>
  </si>
  <si>
    <t>2024-09-25</t>
  </si>
  <si>
    <t>2021-05-13</t>
  </si>
  <si>
    <t>TRX0127</t>
  </si>
  <si>
    <t>2021-03-17</t>
  </si>
  <si>
    <t>TRX0128</t>
  </si>
  <si>
    <t>CUST008</t>
  </si>
  <si>
    <t>2022-04-22</t>
  </si>
  <si>
    <t>TRX0129</t>
  </si>
  <si>
    <t>2023-11-16</t>
  </si>
  <si>
    <t>TRX0130</t>
  </si>
  <si>
    <t>2022-03-22</t>
  </si>
  <si>
    <t>TRX0131</t>
  </si>
  <si>
    <t>2024-04-30</t>
  </si>
  <si>
    <t>TRX0132</t>
  </si>
  <si>
    <t>2024-09-17</t>
  </si>
  <si>
    <t>2021-06-09</t>
  </si>
  <si>
    <t>TRX0133</t>
  </si>
  <si>
    <t>2024-06-01</t>
  </si>
  <si>
    <t>2023-03-21</t>
  </si>
  <si>
    <t>TRX0134</t>
  </si>
  <si>
    <t>2024-08-27</t>
  </si>
  <si>
    <t>2023-04-20</t>
  </si>
  <si>
    <t>TRX0135</t>
  </si>
  <si>
    <t>2023-04-29</t>
  </si>
  <si>
    <t>TRX0136</t>
  </si>
  <si>
    <t>2024-04-14</t>
  </si>
  <si>
    <t>2023-06-09</t>
  </si>
  <si>
    <t>TRX0137</t>
  </si>
  <si>
    <t>2021-11-29</t>
  </si>
  <si>
    <t>TRX0138</t>
  </si>
  <si>
    <t>2025-01-29</t>
  </si>
  <si>
    <t>2023-01-30</t>
  </si>
  <si>
    <t>TRX0139</t>
  </si>
  <si>
    <t>2025-01-02</t>
  </si>
  <si>
    <t>2021-12-18</t>
  </si>
  <si>
    <t>TRX0140</t>
  </si>
  <si>
    <t>2024-05-03</t>
  </si>
  <si>
    <t>2023-09-16</t>
  </si>
  <si>
    <t>TRX0141</t>
  </si>
  <si>
    <t>2023-04-09</t>
  </si>
  <si>
    <t>TRX0142</t>
  </si>
  <si>
    <t>2024-05-02</t>
  </si>
  <si>
    <t>2023-03-30</t>
  </si>
  <si>
    <t>TRX0143</t>
  </si>
  <si>
    <t>2024-07-18</t>
  </si>
  <si>
    <t>2021-03-26</t>
  </si>
  <si>
    <t>TRX0144</t>
  </si>
  <si>
    <t>2024-11-30</t>
  </si>
  <si>
    <t>TRX0145</t>
  </si>
  <si>
    <t>2023-03-09</t>
  </si>
  <si>
    <t>TRX0146</t>
  </si>
  <si>
    <t>2024-04-12</t>
  </si>
  <si>
    <t>2023-09-30</t>
  </si>
  <si>
    <t>TRX0147</t>
  </si>
  <si>
    <t>2021-08-08</t>
  </si>
  <si>
    <t>TRX0148</t>
  </si>
  <si>
    <t>2023-11-11</t>
  </si>
  <si>
    <t>TRX0149</t>
  </si>
  <si>
    <t>2024-05-21</t>
  </si>
  <si>
    <t>2021-04-22</t>
  </si>
  <si>
    <t>TRX0150</t>
  </si>
  <si>
    <t>2024-06-06</t>
  </si>
  <si>
    <t>2022-02-01</t>
  </si>
  <si>
    <t>TRX0151</t>
  </si>
  <si>
    <t>2022-06-01</t>
  </si>
  <si>
    <t>TRX0152</t>
  </si>
  <si>
    <t>2024-12-12</t>
  </si>
  <si>
    <t>2022-03-03</t>
  </si>
  <si>
    <t>TRX0153</t>
  </si>
  <si>
    <t>2023-04-07</t>
  </si>
  <si>
    <t>TRX0154</t>
  </si>
  <si>
    <t>2024-06-08</t>
  </si>
  <si>
    <t>2023-12-23</t>
  </si>
  <si>
    <t>TRX0155</t>
  </si>
  <si>
    <t>2024-06-03</t>
  </si>
  <si>
    <t>TRX0156</t>
  </si>
  <si>
    <t>2025-01-31</t>
  </si>
  <si>
    <t>TRX0157</t>
  </si>
  <si>
    <t>2024-05-05</t>
  </si>
  <si>
    <t>2022-08-30</t>
  </si>
  <si>
    <t>TRX0158</t>
  </si>
  <si>
    <t>2024-04-28</t>
  </si>
  <si>
    <t>2022-03-30</t>
  </si>
  <si>
    <t>TRX0159</t>
  </si>
  <si>
    <t>2024-06-17</t>
  </si>
  <si>
    <t>2023-09-28</t>
  </si>
  <si>
    <t>TRX0160</t>
  </si>
  <si>
    <t>2024-10-09</t>
  </si>
  <si>
    <t>2022-09-15</t>
  </si>
  <si>
    <t>TRX0161</t>
  </si>
  <si>
    <t>2021-10-01</t>
  </si>
  <si>
    <t>TRX0162</t>
  </si>
  <si>
    <t>2023-07-13</t>
  </si>
  <si>
    <t>TRX0163</t>
  </si>
  <si>
    <t>2024-05-09</t>
  </si>
  <si>
    <t>CUST023</t>
  </si>
  <si>
    <t>2024-02-26</t>
  </si>
  <si>
    <t>TRX0164</t>
  </si>
  <si>
    <t>2021-01-01</t>
  </si>
  <si>
    <t>TRX0165</t>
  </si>
  <si>
    <t>2024-05-10</t>
  </si>
  <si>
    <t>2021-08-03</t>
  </si>
  <si>
    <t>TRX0166</t>
  </si>
  <si>
    <t>2025-02-16</t>
  </si>
  <si>
    <t>CUST042</t>
  </si>
  <si>
    <t>2023-11-05</t>
  </si>
  <si>
    <t>TRX0167</t>
  </si>
  <si>
    <t>2022-09-07</t>
  </si>
  <si>
    <t>TRX0168</t>
  </si>
  <si>
    <t>2021-06-14</t>
  </si>
  <si>
    <t>TRX0169</t>
  </si>
  <si>
    <t>2024-08-07</t>
  </si>
  <si>
    <t>2021-03-21</t>
  </si>
  <si>
    <t>TRX0170</t>
  </si>
  <si>
    <t>2025-01-03</t>
  </si>
  <si>
    <t>2022-06-28</t>
  </si>
  <si>
    <t>TRX0171</t>
  </si>
  <si>
    <t>2022-04-29</t>
  </si>
  <si>
    <t>TRX0172</t>
  </si>
  <si>
    <t>2025-02-12</t>
  </si>
  <si>
    <t>TRX0173</t>
  </si>
  <si>
    <t>2022-04-24</t>
  </si>
  <si>
    <t>TRX0174</t>
  </si>
  <si>
    <t>2024-05-20</t>
  </si>
  <si>
    <t>2024-03-03</t>
  </si>
  <si>
    <t>TRX0175</t>
  </si>
  <si>
    <t>2022-12-08</t>
  </si>
  <si>
    <t>TRX0176</t>
  </si>
  <si>
    <t>2024-05-15</t>
  </si>
  <si>
    <t>TRX0177</t>
  </si>
  <si>
    <t>2022-05-20</t>
  </si>
  <si>
    <t>TRX0178</t>
  </si>
  <si>
    <t>2021-07-24</t>
  </si>
  <si>
    <t>TRX0179</t>
  </si>
  <si>
    <t>2021-02-12</t>
  </si>
  <si>
    <t>TRX0180</t>
  </si>
  <si>
    <t>2025-02-13</t>
  </si>
  <si>
    <t>2023-10-29</t>
  </si>
  <si>
    <t>TRX0181</t>
  </si>
  <si>
    <t>2023-06-13</t>
  </si>
  <si>
    <t>TRX0182</t>
  </si>
  <si>
    <t>2022-03-20</t>
  </si>
  <si>
    <t>TRX0183</t>
  </si>
  <si>
    <t>2023-12-09</t>
  </si>
  <si>
    <t>TRX0184</t>
  </si>
  <si>
    <t>2024-12-18</t>
  </si>
  <si>
    <t>2022-01-13</t>
  </si>
  <si>
    <t>TRX0185</t>
  </si>
  <si>
    <t>2024-09-03</t>
  </si>
  <si>
    <t>2022-03-16</t>
  </si>
  <si>
    <t>TRX0186</t>
  </si>
  <si>
    <t>2025-01-23</t>
  </si>
  <si>
    <t>TRX0187</t>
  </si>
  <si>
    <t>2024-11-13</t>
  </si>
  <si>
    <t>2021-02-21</t>
  </si>
  <si>
    <t>TRX0188</t>
  </si>
  <si>
    <t>2023-02-16</t>
  </si>
  <si>
    <t>TRX0189</t>
  </si>
  <si>
    <t>2022-12-15</t>
  </si>
  <si>
    <t>TRX0190</t>
  </si>
  <si>
    <t>2024-07-06</t>
  </si>
  <si>
    <t>2023-08-07</t>
  </si>
  <si>
    <t>TRX0191</t>
  </si>
  <si>
    <t>2024-12-03</t>
  </si>
  <si>
    <t>2022-05-03</t>
  </si>
  <si>
    <t>TRX0192</t>
  </si>
  <si>
    <t>2024-06-29</t>
  </si>
  <si>
    <t>2022-05-23</t>
  </si>
  <si>
    <t>TRX0193</t>
  </si>
  <si>
    <t>2024-08-21</t>
  </si>
  <si>
    <t>TRX0194</t>
  </si>
  <si>
    <t>TRX0195</t>
  </si>
  <si>
    <t>2023-03-07</t>
  </si>
  <si>
    <t>TRX0196</t>
  </si>
  <si>
    <t>TRX0197</t>
  </si>
  <si>
    <t>2024-08-13</t>
  </si>
  <si>
    <t>2023-05-31</t>
  </si>
  <si>
    <t>TRX0198</t>
  </si>
  <si>
    <t>2024-07-12</t>
  </si>
  <si>
    <t>2021-09-12</t>
  </si>
  <si>
    <t>TRX0199</t>
  </si>
  <si>
    <t>2023-03-31</t>
  </si>
  <si>
    <t>TRX0200</t>
  </si>
  <si>
    <t>2024-04-21</t>
  </si>
  <si>
    <t>2023-04-19</t>
  </si>
  <si>
    <t>TRX0201</t>
  </si>
  <si>
    <t>2021-03-20</t>
  </si>
  <si>
    <t>TRX0202</t>
  </si>
  <si>
    <t>2024-10-06</t>
  </si>
  <si>
    <t>2021-07-27</t>
  </si>
  <si>
    <t>TRX0203</t>
  </si>
  <si>
    <t>2022-12-04</t>
  </si>
  <si>
    <t>TRX0204</t>
  </si>
  <si>
    <t>2024-12-30</t>
  </si>
  <si>
    <t>2021-09-08</t>
  </si>
  <si>
    <t>TRX0205</t>
  </si>
  <si>
    <t>2021-05-06</t>
  </si>
  <si>
    <t>TRX0206</t>
  </si>
  <si>
    <t>TRX0207</t>
  </si>
  <si>
    <t>2024-07-28</t>
  </si>
  <si>
    <t>2021-12-03</t>
  </si>
  <si>
    <t>TRX0208</t>
  </si>
  <si>
    <t>2024-06-24</t>
  </si>
  <si>
    <t>2022-12-25</t>
  </si>
  <si>
    <t>TRX0209</t>
  </si>
  <si>
    <t>2022-12-28</t>
  </si>
  <si>
    <t>TRX0210</t>
  </si>
  <si>
    <t>2022-07-30</t>
  </si>
  <si>
    <t>TRX0211</t>
  </si>
  <si>
    <t>2024-05-24</t>
  </si>
  <si>
    <t>2023-01-13</t>
  </si>
  <si>
    <t>TRX0212</t>
  </si>
  <si>
    <t>2021-10-15</t>
  </si>
  <si>
    <t>TRX0213</t>
  </si>
  <si>
    <t>2024-05-17</t>
  </si>
  <si>
    <t>2022-08-24</t>
  </si>
  <si>
    <t>TRX0214</t>
  </si>
  <si>
    <t>2024-11-28</t>
  </si>
  <si>
    <t>2022-12-11</t>
  </si>
  <si>
    <t>TRX0215</t>
  </si>
  <si>
    <t>2024-05-27</t>
  </si>
  <si>
    <t>2024-01-29</t>
  </si>
  <si>
    <t>TRX0216</t>
  </si>
  <si>
    <t>2023-06-18</t>
  </si>
  <si>
    <t>Analysis</t>
  </si>
  <si>
    <t>Total Revenue</t>
  </si>
  <si>
    <t>TODAY()</t>
  </si>
  <si>
    <t>Average Revenue</t>
  </si>
  <si>
    <t>NOW()</t>
  </si>
  <si>
    <t>Total Transactions</t>
  </si>
  <si>
    <t>EOMONTH</t>
  </si>
  <si>
    <t>Top Customer</t>
  </si>
  <si>
    <t>DATEDIF Years</t>
  </si>
  <si>
    <t>Most Sold Product</t>
  </si>
  <si>
    <t>WHAT-IF ANALYSIS</t>
  </si>
  <si>
    <t>FILTER FUNCTION</t>
  </si>
  <si>
    <t>Current Revenue</t>
  </si>
  <si>
    <t>Increase %</t>
  </si>
  <si>
    <t>Projected Revenue</t>
  </si>
  <si>
    <t>Customer Abbreviation</t>
  </si>
  <si>
    <t>Sales</t>
  </si>
  <si>
    <t>Revenue</t>
  </si>
  <si>
    <t>Dashboard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</si>
</sst>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20"/>
      <name val="Calibri"/>
      <charset val="134"/>
      <scheme val="minor"/>
    </font>
    <font>
      <b/>
      <sz val="11"/>
      <name val="Calibri"/>
      <charset val="134"/>
      <scheme val="minor"/>
    </font>
    <font>
      <b/>
      <sz val="16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2" borderId="0" xfId="0" applyFill="1"/>
    <xf numFmtId="0" fontId="3" fillId="0" borderId="0" xfId="0" applyFont="1"/>
    <xf numFmtId="0" fontId="4" fillId="3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Regional Sales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Visualizations!$B$1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Visualizations!$A$2:$A$6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Visualizations!$B$2:$B$6</c:f>
              <c:numCache>
                <c:formatCode>General</c:formatCode>
                <c:ptCount val="5"/>
                <c:pt idx="0">
                  <c:v>39688.78</c:v>
                </c:pt>
                <c:pt idx="1">
                  <c:v>29458.81</c:v>
                </c:pt>
                <c:pt idx="2">
                  <c:v>39938.86</c:v>
                </c:pt>
                <c:pt idx="3">
                  <c:v>46508.48</c:v>
                </c:pt>
                <c:pt idx="4">
                  <c:v>49568.44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GB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9865e73-fdc2-486e-8862-c0c5d9a24697}"/>
      </c:ext>
    </c:extLst>
  </c:chart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Monthly Revenue Trend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Visualizations!$B$10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Visualizations!$A$11:$A$21</c:f>
              <c:strCache>
                <c:ptCount val="11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</c:strCache>
            </c:strRef>
          </c:cat>
          <c:val>
            <c:numRef>
              <c:f>Visualizations!$B$11:$B$21</c:f>
              <c:numCache>
                <c:formatCode>General</c:formatCode>
                <c:ptCount val="11"/>
                <c:pt idx="0">
                  <c:v>16666</c:v>
                </c:pt>
                <c:pt idx="1">
                  <c:v>21731</c:v>
                </c:pt>
                <c:pt idx="2">
                  <c:v>15673</c:v>
                </c:pt>
                <c:pt idx="3">
                  <c:v>12565</c:v>
                </c:pt>
                <c:pt idx="4">
                  <c:v>23507</c:v>
                </c:pt>
                <c:pt idx="5">
                  <c:v>24157</c:v>
                </c:pt>
                <c:pt idx="6">
                  <c:v>9915</c:v>
                </c:pt>
                <c:pt idx="7">
                  <c:v>23871</c:v>
                </c:pt>
                <c:pt idx="8">
                  <c:v>23305</c:v>
                </c:pt>
                <c:pt idx="9">
                  <c:v>12732</c:v>
                </c:pt>
                <c:pt idx="10">
                  <c:v>24101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GB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d2f992b-d840-439f-b196-bbf8f2bbdd26}"/>
      </c:ext>
    </c:extLst>
  </c:chart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Category Share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Visualizations!$K$1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noFill/>
              <a:prstDash val="solid"/>
            </a:ln>
          </c:spPr>
          <c:explosion val="0"/>
          <c:dPt>
            <c:idx val="0"/>
            <c:bubble3D val="0"/>
            <c:spPr>
              <a:ln>
                <a:noFill/>
                <a:prstDash val="solid"/>
              </a:ln>
            </c:spPr>
          </c:dPt>
          <c:dPt>
            <c:idx val="1"/>
            <c:bubble3D val="0"/>
            <c:spPr>
              <a:ln>
                <a:noFill/>
                <a:prstDash val="solid"/>
              </a:ln>
            </c:spPr>
          </c:dPt>
          <c:dPt>
            <c:idx val="2"/>
            <c:bubble3D val="0"/>
            <c:spPr>
              <a:ln>
                <a:noFill/>
                <a:prstDash val="solid"/>
              </a:ln>
            </c:spPr>
          </c:dPt>
          <c:dLbls>
            <c:delete val="1"/>
          </c:dLbls>
          <c:cat>
            <c:strRef>
              <c:f>Visualizations!$J$2:$J$4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Appliances</c:v>
                </c:pt>
              </c:strCache>
            </c:strRef>
          </c:cat>
          <c:val>
            <c:numRef>
              <c:f>Visualizations!$K$2:$K$4</c:f>
              <c:numCache>
                <c:formatCode>General</c:formatCode>
                <c:ptCount val="3"/>
                <c:pt idx="0">
                  <c:v>55000</c:v>
                </c:pt>
                <c:pt idx="1">
                  <c:v>32000</c:v>
                </c:pt>
                <c:pt idx="2">
                  <c:v>18000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GB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faad109-c37c-472b-b7ca-2d8afc7fca7b}"/>
      </c:ext>
    </c:extLst>
  </c:chart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0</xdr:colOff>
      <xdr:row>1</xdr:row>
      <xdr:rowOff>0</xdr:rowOff>
    </xdr:from>
    <xdr:ext cx="5400000" cy="2611100"/>
    <xdr:graphicFrame>
      <xdr:nvGraphicFramePr>
        <xdr:cNvPr id="2" name="Chart 1"/>
        <xdr:cNvGraphicFramePr/>
      </xdr:nvGraphicFramePr>
      <xdr:xfrm>
        <a:off x="3003550" y="184150"/>
        <a:ext cx="5399405" cy="26104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17</xdr:row>
      <xdr:rowOff>0</xdr:rowOff>
    </xdr:from>
    <xdr:ext cx="5400000" cy="2611100"/>
    <xdr:graphicFrame>
      <xdr:nvGraphicFramePr>
        <xdr:cNvPr id="3" name="Chart 2"/>
        <xdr:cNvGraphicFramePr/>
      </xdr:nvGraphicFramePr>
      <xdr:xfrm>
        <a:off x="3003550" y="3130550"/>
        <a:ext cx="5399405" cy="26104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15</xdr:col>
      <xdr:colOff>425450</xdr:colOff>
      <xdr:row>0</xdr:row>
      <xdr:rowOff>177800</xdr:rowOff>
    </xdr:from>
    <xdr:ext cx="5400000" cy="2611100"/>
    <xdr:graphicFrame>
      <xdr:nvGraphicFramePr>
        <xdr:cNvPr id="4" name="Chart 3"/>
        <xdr:cNvGraphicFramePr/>
      </xdr:nvGraphicFramePr>
      <xdr:xfrm>
        <a:off x="8737600" y="177800"/>
        <a:ext cx="5399405" cy="26104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id="1" name="CustomerData" displayName="CustomerData" ref="A1:R217">
  <autoFilter xmlns:etc="http://www.wps.cn/officeDocument/2017/etCustomData" ref="A1:R217" etc:filterBottomFollowUsedRange="0"/>
  <tableColumns count="18">
    <tableColumn id="1" name="Transaction_ID"/>
    <tableColumn id="2" name="Date"/>
    <tableColumn id="3" name="Customer_ID"/>
    <tableColumn id="4" name="Customer_Name"/>
    <tableColumn id="5" name="Product_ID"/>
    <tableColumn id="6" name="Product_Name"/>
    <tableColumn id="7" name="Category"/>
    <tableColumn id="8" name="Quantity"/>
    <tableColumn id="9" name="Unit_Price"/>
    <tableColumn id="10" name="Payment_Method"/>
    <tableColumn id="11" name="Region"/>
    <tableColumn id="12" name="Customer_Segment"/>
    <tableColumn id="13" name="Customer_Since"/>
    <tableColumn id="14" name="Total_Amount"/>
    <tableColumn id="15" name="Timestamp"/>
    <tableColumn id="16" name="Month"/>
    <tableColumn id="17" name="Year"/>
    <tableColumn id="18" name="Customer_Year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17"/>
  <sheetViews>
    <sheetView tabSelected="1" workbookViewId="0">
      <selection activeCell="A1" sqref="A1"/>
    </sheetView>
  </sheetViews>
  <sheetFormatPr defaultColWidth="9" defaultRowHeight="14.5"/>
  <cols>
    <col min="1" max="1" width="17" customWidth="1"/>
    <col min="2" max="2" width="13" customWidth="1"/>
    <col min="3" max="3" width="14" customWidth="1"/>
    <col min="4" max="4" width="19" customWidth="1"/>
    <col min="5" max="5" width="13" customWidth="1"/>
    <col min="6" max="6" width="15" customWidth="1"/>
    <col min="7" max="7" width="14" customWidth="1"/>
    <col min="8" max="8" width="11" customWidth="1"/>
    <col min="9" max="9" width="13" customWidth="1"/>
    <col min="10" max="10" width="17" customWidth="1"/>
    <col min="11" max="11" width="10" customWidth="1"/>
    <col min="12" max="12" width="19" customWidth="1"/>
    <col min="13" max="13" width="17" customWidth="1"/>
    <col min="14" max="14" width="15" customWidth="1"/>
    <col min="15" max="15" width="22" customWidth="1"/>
    <col min="16" max="16" width="8" customWidth="1"/>
    <col min="17" max="17" width="7" customWidth="1"/>
    <col min="18" max="18" width="17" customWidth="1"/>
  </cols>
  <sheetData>
    <row r="1" spans="1:1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2</v>
      </c>
      <c r="I2">
        <v>199.99</v>
      </c>
      <c r="J2" t="s">
        <v>25</v>
      </c>
      <c r="K2" t="s">
        <v>26</v>
      </c>
      <c r="L2" t="s">
        <v>27</v>
      </c>
      <c r="M2" t="s">
        <v>28</v>
      </c>
      <c r="N2">
        <v>399.98</v>
      </c>
      <c r="O2" t="s">
        <v>29</v>
      </c>
      <c r="P2" t="s">
        <v>30</v>
      </c>
      <c r="Q2">
        <v>2024</v>
      </c>
      <c r="R2">
        <v>5</v>
      </c>
    </row>
    <row r="3" spans="1:18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>
        <v>5</v>
      </c>
      <c r="I3">
        <v>899.99</v>
      </c>
      <c r="J3" t="s">
        <v>38</v>
      </c>
      <c r="K3" t="s">
        <v>39</v>
      </c>
      <c r="L3" t="s">
        <v>40</v>
      </c>
      <c r="M3" t="s">
        <v>41</v>
      </c>
      <c r="N3">
        <v>4499.95</v>
      </c>
      <c r="O3" t="s">
        <v>29</v>
      </c>
      <c r="P3" t="s">
        <v>42</v>
      </c>
      <c r="Q3">
        <v>2024</v>
      </c>
      <c r="R3">
        <v>5</v>
      </c>
    </row>
    <row r="4" spans="1:18">
      <c r="A4" t="s">
        <v>43</v>
      </c>
      <c r="B4" t="s">
        <v>44</v>
      </c>
      <c r="C4" t="s">
        <v>45</v>
      </c>
      <c r="D4" t="s">
        <v>46</v>
      </c>
      <c r="E4" t="s">
        <v>47</v>
      </c>
      <c r="F4" t="s">
        <v>48</v>
      </c>
      <c r="G4" t="s">
        <v>37</v>
      </c>
      <c r="H4">
        <v>5</v>
      </c>
      <c r="I4">
        <v>699.99</v>
      </c>
      <c r="J4" t="s">
        <v>49</v>
      </c>
      <c r="K4" t="s">
        <v>50</v>
      </c>
      <c r="L4" t="s">
        <v>40</v>
      </c>
      <c r="M4" t="s">
        <v>51</v>
      </c>
      <c r="N4">
        <v>3499.95</v>
      </c>
      <c r="O4" t="s">
        <v>29</v>
      </c>
      <c r="P4" t="s">
        <v>52</v>
      </c>
      <c r="Q4">
        <v>2024</v>
      </c>
      <c r="R4">
        <v>5</v>
      </c>
    </row>
    <row r="5" spans="1:18">
      <c r="A5" t="s">
        <v>53</v>
      </c>
      <c r="B5" t="s">
        <v>54</v>
      </c>
      <c r="C5" t="s">
        <v>55</v>
      </c>
      <c r="D5" t="s">
        <v>56</v>
      </c>
      <c r="E5" t="s">
        <v>57</v>
      </c>
      <c r="F5" t="s">
        <v>58</v>
      </c>
      <c r="G5" t="s">
        <v>37</v>
      </c>
      <c r="H5">
        <v>5</v>
      </c>
      <c r="I5">
        <v>89.99</v>
      </c>
      <c r="J5" t="s">
        <v>49</v>
      </c>
      <c r="K5" t="s">
        <v>26</v>
      </c>
      <c r="L5" t="s">
        <v>59</v>
      </c>
      <c r="M5" t="s">
        <v>60</v>
      </c>
      <c r="N5">
        <v>449.95</v>
      </c>
      <c r="O5" t="s">
        <v>29</v>
      </c>
      <c r="P5" t="s">
        <v>30</v>
      </c>
      <c r="Q5">
        <v>2024</v>
      </c>
      <c r="R5">
        <v>5</v>
      </c>
    </row>
    <row r="6" spans="1:18">
      <c r="A6" t="s">
        <v>61</v>
      </c>
      <c r="B6" t="s">
        <v>62</v>
      </c>
      <c r="C6" t="s">
        <v>63</v>
      </c>
      <c r="D6" t="s">
        <v>64</v>
      </c>
      <c r="E6" t="s">
        <v>65</v>
      </c>
      <c r="F6" t="s">
        <v>66</v>
      </c>
      <c r="G6" t="s">
        <v>37</v>
      </c>
      <c r="H6">
        <v>5</v>
      </c>
      <c r="I6">
        <v>149.99</v>
      </c>
      <c r="J6" t="s">
        <v>49</v>
      </c>
      <c r="K6" t="s">
        <v>39</v>
      </c>
      <c r="L6" t="s">
        <v>27</v>
      </c>
      <c r="M6" t="s">
        <v>67</v>
      </c>
      <c r="N6">
        <v>749.95</v>
      </c>
      <c r="O6" t="s">
        <v>29</v>
      </c>
      <c r="P6" t="s">
        <v>68</v>
      </c>
      <c r="Q6">
        <v>2024</v>
      </c>
      <c r="R6">
        <v>2</v>
      </c>
    </row>
    <row r="7" spans="1:18">
      <c r="A7" t="s">
        <v>69</v>
      </c>
      <c r="B7" t="s">
        <v>70</v>
      </c>
      <c r="C7" t="s">
        <v>71</v>
      </c>
      <c r="D7" t="s">
        <v>72</v>
      </c>
      <c r="E7" t="s">
        <v>57</v>
      </c>
      <c r="F7" t="s">
        <v>58</v>
      </c>
      <c r="G7" t="s">
        <v>37</v>
      </c>
      <c r="H7">
        <v>2</v>
      </c>
      <c r="I7">
        <v>89.99</v>
      </c>
      <c r="J7" t="s">
        <v>25</v>
      </c>
      <c r="K7" t="s">
        <v>50</v>
      </c>
      <c r="L7" t="s">
        <v>40</v>
      </c>
      <c r="M7" t="s">
        <v>73</v>
      </c>
      <c r="N7">
        <v>179.98</v>
      </c>
      <c r="O7" t="s">
        <v>29</v>
      </c>
      <c r="P7" t="s">
        <v>30</v>
      </c>
      <c r="Q7">
        <v>2024</v>
      </c>
      <c r="R7">
        <v>4</v>
      </c>
    </row>
    <row r="8" spans="1:18">
      <c r="A8" t="s">
        <v>74</v>
      </c>
      <c r="B8" t="s">
        <v>75</v>
      </c>
      <c r="C8" t="s">
        <v>76</v>
      </c>
      <c r="D8" t="s">
        <v>77</v>
      </c>
      <c r="E8" t="s">
        <v>57</v>
      </c>
      <c r="F8" t="s">
        <v>58</v>
      </c>
      <c r="G8" t="s">
        <v>37</v>
      </c>
      <c r="H8">
        <v>2</v>
      </c>
      <c r="I8">
        <v>89.99</v>
      </c>
      <c r="J8" t="s">
        <v>78</v>
      </c>
      <c r="K8" t="s">
        <v>79</v>
      </c>
      <c r="L8" t="s">
        <v>27</v>
      </c>
      <c r="M8" t="s">
        <v>80</v>
      </c>
      <c r="N8">
        <v>179.98</v>
      </c>
      <c r="O8" t="s">
        <v>29</v>
      </c>
      <c r="P8" t="s">
        <v>81</v>
      </c>
      <c r="Q8">
        <v>2024</v>
      </c>
      <c r="R8">
        <v>2</v>
      </c>
    </row>
    <row r="9" spans="1:18">
      <c r="A9" t="s">
        <v>82</v>
      </c>
      <c r="B9" t="s">
        <v>83</v>
      </c>
      <c r="C9" t="s">
        <v>84</v>
      </c>
      <c r="D9" t="s">
        <v>72</v>
      </c>
      <c r="E9" t="s">
        <v>85</v>
      </c>
      <c r="F9" t="s">
        <v>86</v>
      </c>
      <c r="G9" t="s">
        <v>24</v>
      </c>
      <c r="H9">
        <v>3</v>
      </c>
      <c r="I9">
        <v>149.99</v>
      </c>
      <c r="J9" t="s">
        <v>49</v>
      </c>
      <c r="K9" t="s">
        <v>39</v>
      </c>
      <c r="L9" t="s">
        <v>27</v>
      </c>
      <c r="M9" t="s">
        <v>87</v>
      </c>
      <c r="N9">
        <v>449.97</v>
      </c>
      <c r="O9" t="s">
        <v>29</v>
      </c>
      <c r="P9" t="s">
        <v>88</v>
      </c>
      <c r="Q9">
        <v>2024</v>
      </c>
      <c r="R9">
        <v>3</v>
      </c>
    </row>
    <row r="10" spans="1:18">
      <c r="A10" t="s">
        <v>89</v>
      </c>
      <c r="B10" t="s">
        <v>90</v>
      </c>
      <c r="C10" t="s">
        <v>91</v>
      </c>
      <c r="D10" t="s">
        <v>92</v>
      </c>
      <c r="E10" t="s">
        <v>93</v>
      </c>
      <c r="F10" t="s">
        <v>94</v>
      </c>
      <c r="G10" t="s">
        <v>95</v>
      </c>
      <c r="H10">
        <v>5</v>
      </c>
      <c r="I10">
        <v>59.99</v>
      </c>
      <c r="J10" t="s">
        <v>78</v>
      </c>
      <c r="K10" t="s">
        <v>50</v>
      </c>
      <c r="L10" t="s">
        <v>40</v>
      </c>
      <c r="M10" t="s">
        <v>96</v>
      </c>
      <c r="N10">
        <v>299.95</v>
      </c>
      <c r="O10" t="s">
        <v>29</v>
      </c>
      <c r="P10" t="s">
        <v>81</v>
      </c>
      <c r="Q10">
        <v>2024</v>
      </c>
      <c r="R10">
        <v>3</v>
      </c>
    </row>
    <row r="11" spans="1:18">
      <c r="A11" t="s">
        <v>97</v>
      </c>
      <c r="B11" t="s">
        <v>98</v>
      </c>
      <c r="C11" t="s">
        <v>99</v>
      </c>
      <c r="D11" t="s">
        <v>100</v>
      </c>
      <c r="E11" t="s">
        <v>47</v>
      </c>
      <c r="F11" t="s">
        <v>48</v>
      </c>
      <c r="G11" t="s">
        <v>37</v>
      </c>
      <c r="H11">
        <v>5</v>
      </c>
      <c r="I11">
        <v>699.99</v>
      </c>
      <c r="J11" t="s">
        <v>49</v>
      </c>
      <c r="K11" t="s">
        <v>79</v>
      </c>
      <c r="L11" t="s">
        <v>59</v>
      </c>
      <c r="M11" t="s">
        <v>101</v>
      </c>
      <c r="N11">
        <v>3499.95</v>
      </c>
      <c r="O11" t="s">
        <v>29</v>
      </c>
      <c r="P11" t="s">
        <v>52</v>
      </c>
      <c r="Q11">
        <v>2024</v>
      </c>
      <c r="R11">
        <v>4</v>
      </c>
    </row>
    <row r="12" spans="1:18">
      <c r="A12" t="s">
        <v>102</v>
      </c>
      <c r="B12" t="s">
        <v>103</v>
      </c>
      <c r="C12" t="s">
        <v>104</v>
      </c>
      <c r="D12" t="s">
        <v>100</v>
      </c>
      <c r="E12" t="s">
        <v>35</v>
      </c>
      <c r="F12" t="s">
        <v>36</v>
      </c>
      <c r="G12" t="s">
        <v>37</v>
      </c>
      <c r="H12">
        <v>1</v>
      </c>
      <c r="I12">
        <v>899.99</v>
      </c>
      <c r="J12" t="s">
        <v>78</v>
      </c>
      <c r="K12" t="s">
        <v>50</v>
      </c>
      <c r="L12" t="s">
        <v>59</v>
      </c>
      <c r="M12" t="s">
        <v>105</v>
      </c>
      <c r="N12">
        <v>899.99</v>
      </c>
      <c r="O12" t="s">
        <v>29</v>
      </c>
      <c r="P12" t="s">
        <v>106</v>
      </c>
      <c r="Q12">
        <v>2025</v>
      </c>
      <c r="R12">
        <v>2</v>
      </c>
    </row>
    <row r="13" spans="1:18">
      <c r="A13" t="s">
        <v>107</v>
      </c>
      <c r="B13" t="s">
        <v>108</v>
      </c>
      <c r="C13" t="s">
        <v>109</v>
      </c>
      <c r="D13" t="s">
        <v>110</v>
      </c>
      <c r="E13" t="s">
        <v>57</v>
      </c>
      <c r="F13" t="s">
        <v>58</v>
      </c>
      <c r="G13" t="s">
        <v>37</v>
      </c>
      <c r="H13">
        <v>4</v>
      </c>
      <c r="I13">
        <v>89.99</v>
      </c>
      <c r="J13" t="s">
        <v>25</v>
      </c>
      <c r="K13" t="s">
        <v>39</v>
      </c>
      <c r="L13" t="s">
        <v>27</v>
      </c>
      <c r="M13" t="s">
        <v>111</v>
      </c>
      <c r="N13">
        <v>359.96</v>
      </c>
      <c r="O13" t="s">
        <v>29</v>
      </c>
      <c r="P13" t="s">
        <v>112</v>
      </c>
      <c r="Q13">
        <v>2024</v>
      </c>
      <c r="R13">
        <v>4</v>
      </c>
    </row>
    <row r="14" spans="1:18">
      <c r="A14" t="s">
        <v>113</v>
      </c>
      <c r="B14" t="s">
        <v>114</v>
      </c>
      <c r="C14" t="s">
        <v>115</v>
      </c>
      <c r="D14" t="s">
        <v>116</v>
      </c>
      <c r="E14" t="s">
        <v>93</v>
      </c>
      <c r="F14" t="s">
        <v>94</v>
      </c>
      <c r="G14" t="s">
        <v>95</v>
      </c>
      <c r="H14">
        <v>5</v>
      </c>
      <c r="I14">
        <v>59.99</v>
      </c>
      <c r="J14" t="s">
        <v>78</v>
      </c>
      <c r="K14" t="s">
        <v>39</v>
      </c>
      <c r="L14" t="s">
        <v>59</v>
      </c>
      <c r="M14" t="s">
        <v>117</v>
      </c>
      <c r="N14">
        <v>299.95</v>
      </c>
      <c r="O14" t="s">
        <v>29</v>
      </c>
      <c r="P14" t="s">
        <v>52</v>
      </c>
      <c r="Q14">
        <v>2024</v>
      </c>
      <c r="R14">
        <v>3</v>
      </c>
    </row>
    <row r="15" spans="1:18">
      <c r="A15" t="s">
        <v>118</v>
      </c>
      <c r="B15" t="s">
        <v>119</v>
      </c>
      <c r="C15" t="s">
        <v>120</v>
      </c>
      <c r="D15" t="s">
        <v>56</v>
      </c>
      <c r="E15" t="s">
        <v>22</v>
      </c>
      <c r="F15" t="s">
        <v>23</v>
      </c>
      <c r="G15" t="s">
        <v>24</v>
      </c>
      <c r="H15">
        <v>2</v>
      </c>
      <c r="I15">
        <v>199.99</v>
      </c>
      <c r="J15" t="s">
        <v>49</v>
      </c>
      <c r="K15" t="s">
        <v>26</v>
      </c>
      <c r="L15" t="s">
        <v>40</v>
      </c>
      <c r="M15" t="s">
        <v>121</v>
      </c>
      <c r="N15">
        <v>399.98</v>
      </c>
      <c r="O15" t="s">
        <v>29</v>
      </c>
      <c r="P15" t="s">
        <v>122</v>
      </c>
      <c r="Q15">
        <v>2025</v>
      </c>
      <c r="R15">
        <v>4</v>
      </c>
    </row>
    <row r="16" spans="1:18">
      <c r="A16" t="s">
        <v>123</v>
      </c>
      <c r="B16" t="s">
        <v>124</v>
      </c>
      <c r="C16" t="s">
        <v>33</v>
      </c>
      <c r="D16" t="s">
        <v>125</v>
      </c>
      <c r="E16" t="s">
        <v>126</v>
      </c>
      <c r="F16" t="s">
        <v>127</v>
      </c>
      <c r="G16" t="s">
        <v>95</v>
      </c>
      <c r="H16">
        <v>4</v>
      </c>
      <c r="I16">
        <v>79.99</v>
      </c>
      <c r="J16" t="s">
        <v>38</v>
      </c>
      <c r="K16" t="s">
        <v>79</v>
      </c>
      <c r="L16" t="s">
        <v>27</v>
      </c>
      <c r="M16" t="s">
        <v>128</v>
      </c>
      <c r="N16">
        <v>319.96</v>
      </c>
      <c r="O16" t="s">
        <v>29</v>
      </c>
      <c r="P16" t="s">
        <v>30</v>
      </c>
      <c r="Q16">
        <v>2024</v>
      </c>
      <c r="R16">
        <v>2</v>
      </c>
    </row>
    <row r="17" spans="1:18">
      <c r="A17" t="s">
        <v>129</v>
      </c>
      <c r="B17" t="s">
        <v>130</v>
      </c>
      <c r="C17" t="s">
        <v>109</v>
      </c>
      <c r="D17" t="s">
        <v>72</v>
      </c>
      <c r="E17" t="s">
        <v>93</v>
      </c>
      <c r="F17" t="s">
        <v>94</v>
      </c>
      <c r="G17" t="s">
        <v>95</v>
      </c>
      <c r="H17">
        <v>2</v>
      </c>
      <c r="I17">
        <v>59.99</v>
      </c>
      <c r="J17" t="s">
        <v>38</v>
      </c>
      <c r="K17" t="s">
        <v>26</v>
      </c>
      <c r="L17" t="s">
        <v>27</v>
      </c>
      <c r="M17" t="s">
        <v>131</v>
      </c>
      <c r="N17">
        <v>119.98</v>
      </c>
      <c r="O17" t="s">
        <v>29</v>
      </c>
      <c r="P17" t="s">
        <v>52</v>
      </c>
      <c r="Q17">
        <v>2024</v>
      </c>
      <c r="R17">
        <v>2</v>
      </c>
    </row>
    <row r="18" spans="1:18">
      <c r="A18" t="s">
        <v>132</v>
      </c>
      <c r="B18" t="s">
        <v>133</v>
      </c>
      <c r="C18" t="s">
        <v>84</v>
      </c>
      <c r="D18" t="s">
        <v>134</v>
      </c>
      <c r="E18" t="s">
        <v>135</v>
      </c>
      <c r="F18" t="s">
        <v>136</v>
      </c>
      <c r="G18" t="s">
        <v>24</v>
      </c>
      <c r="H18">
        <v>2</v>
      </c>
      <c r="I18">
        <v>299.99</v>
      </c>
      <c r="J18" t="s">
        <v>49</v>
      </c>
      <c r="K18" t="s">
        <v>137</v>
      </c>
      <c r="L18" t="s">
        <v>40</v>
      </c>
      <c r="M18" t="s">
        <v>138</v>
      </c>
      <c r="N18">
        <v>599.98</v>
      </c>
      <c r="O18" t="s">
        <v>29</v>
      </c>
      <c r="P18" t="s">
        <v>68</v>
      </c>
      <c r="Q18">
        <v>2024</v>
      </c>
      <c r="R18">
        <v>4</v>
      </c>
    </row>
    <row r="19" spans="1:18">
      <c r="A19" t="s">
        <v>139</v>
      </c>
      <c r="B19" t="s">
        <v>140</v>
      </c>
      <c r="C19" t="s">
        <v>141</v>
      </c>
      <c r="D19" t="s">
        <v>142</v>
      </c>
      <c r="E19" t="s">
        <v>85</v>
      </c>
      <c r="F19" t="s">
        <v>86</v>
      </c>
      <c r="G19" t="s">
        <v>24</v>
      </c>
      <c r="H19">
        <v>5</v>
      </c>
      <c r="I19">
        <v>149.99</v>
      </c>
      <c r="J19" t="s">
        <v>49</v>
      </c>
      <c r="K19" t="s">
        <v>79</v>
      </c>
      <c r="L19" t="s">
        <v>27</v>
      </c>
      <c r="M19" t="s">
        <v>143</v>
      </c>
      <c r="N19">
        <v>749.95</v>
      </c>
      <c r="O19" t="s">
        <v>29</v>
      </c>
      <c r="P19" t="s">
        <v>42</v>
      </c>
      <c r="Q19">
        <v>2024</v>
      </c>
      <c r="R19">
        <v>3</v>
      </c>
    </row>
    <row r="20" spans="1:18">
      <c r="A20" t="s">
        <v>144</v>
      </c>
      <c r="B20" t="s">
        <v>145</v>
      </c>
      <c r="C20" t="s">
        <v>146</v>
      </c>
      <c r="D20" t="s">
        <v>72</v>
      </c>
      <c r="E20" t="s">
        <v>22</v>
      </c>
      <c r="F20" t="s">
        <v>23</v>
      </c>
      <c r="G20" t="s">
        <v>24</v>
      </c>
      <c r="H20">
        <v>5</v>
      </c>
      <c r="I20">
        <v>199.99</v>
      </c>
      <c r="J20" t="s">
        <v>25</v>
      </c>
      <c r="K20" t="s">
        <v>79</v>
      </c>
      <c r="L20" t="s">
        <v>27</v>
      </c>
      <c r="M20" t="s">
        <v>147</v>
      </c>
      <c r="N20">
        <v>999.95</v>
      </c>
      <c r="O20" t="s">
        <v>29</v>
      </c>
      <c r="P20" t="s">
        <v>106</v>
      </c>
      <c r="Q20">
        <v>2025</v>
      </c>
      <c r="R20">
        <v>3</v>
      </c>
    </row>
    <row r="21" spans="1:18">
      <c r="A21" t="s">
        <v>148</v>
      </c>
      <c r="B21" t="s">
        <v>54</v>
      </c>
      <c r="C21" t="s">
        <v>149</v>
      </c>
      <c r="D21" t="s">
        <v>46</v>
      </c>
      <c r="E21" t="s">
        <v>150</v>
      </c>
      <c r="F21" t="s">
        <v>151</v>
      </c>
      <c r="G21" t="s">
        <v>37</v>
      </c>
      <c r="H21">
        <v>4</v>
      </c>
      <c r="I21">
        <v>249.99</v>
      </c>
      <c r="J21" t="s">
        <v>38</v>
      </c>
      <c r="K21" t="s">
        <v>79</v>
      </c>
      <c r="L21" t="s">
        <v>40</v>
      </c>
      <c r="M21" t="s">
        <v>152</v>
      </c>
      <c r="N21">
        <v>999.96</v>
      </c>
      <c r="O21" t="s">
        <v>29</v>
      </c>
      <c r="P21" t="s">
        <v>30</v>
      </c>
      <c r="Q21">
        <v>2024</v>
      </c>
      <c r="R21">
        <v>3</v>
      </c>
    </row>
    <row r="22" spans="1:18">
      <c r="A22" t="s">
        <v>153</v>
      </c>
      <c r="B22" t="s">
        <v>154</v>
      </c>
      <c r="C22" t="s">
        <v>155</v>
      </c>
      <c r="D22" t="s">
        <v>46</v>
      </c>
      <c r="E22" t="s">
        <v>126</v>
      </c>
      <c r="F22" t="s">
        <v>127</v>
      </c>
      <c r="G22" t="s">
        <v>95</v>
      </c>
      <c r="H22">
        <v>1</v>
      </c>
      <c r="I22">
        <v>79.99</v>
      </c>
      <c r="J22" t="s">
        <v>78</v>
      </c>
      <c r="K22" t="s">
        <v>50</v>
      </c>
      <c r="L22" t="s">
        <v>40</v>
      </c>
      <c r="M22" t="s">
        <v>156</v>
      </c>
      <c r="N22">
        <v>79.99</v>
      </c>
      <c r="O22" t="s">
        <v>29</v>
      </c>
      <c r="P22" t="s">
        <v>42</v>
      </c>
      <c r="Q22">
        <v>2024</v>
      </c>
      <c r="R22">
        <v>2</v>
      </c>
    </row>
    <row r="23" spans="1:18">
      <c r="A23" t="s">
        <v>157</v>
      </c>
      <c r="B23" t="s">
        <v>158</v>
      </c>
      <c r="C23" t="s">
        <v>159</v>
      </c>
      <c r="D23" t="s">
        <v>46</v>
      </c>
      <c r="E23" t="s">
        <v>47</v>
      </c>
      <c r="F23" t="s">
        <v>48</v>
      </c>
      <c r="G23" t="s">
        <v>37</v>
      </c>
      <c r="H23">
        <v>1</v>
      </c>
      <c r="I23">
        <v>699.99</v>
      </c>
      <c r="J23" t="s">
        <v>78</v>
      </c>
      <c r="K23" t="s">
        <v>50</v>
      </c>
      <c r="L23" t="s">
        <v>40</v>
      </c>
      <c r="M23" t="s">
        <v>160</v>
      </c>
      <c r="N23">
        <v>699.99</v>
      </c>
      <c r="O23" t="s">
        <v>29</v>
      </c>
      <c r="P23" t="s">
        <v>106</v>
      </c>
      <c r="Q23">
        <v>2025</v>
      </c>
      <c r="R23">
        <v>4</v>
      </c>
    </row>
    <row r="24" spans="1:18">
      <c r="A24" t="s">
        <v>161</v>
      </c>
      <c r="B24" t="s">
        <v>162</v>
      </c>
      <c r="C24" t="s">
        <v>163</v>
      </c>
      <c r="D24" t="s">
        <v>164</v>
      </c>
      <c r="E24" t="s">
        <v>47</v>
      </c>
      <c r="F24" t="s">
        <v>48</v>
      </c>
      <c r="G24" t="s">
        <v>37</v>
      </c>
      <c r="H24">
        <v>2</v>
      </c>
      <c r="I24">
        <v>699.99</v>
      </c>
      <c r="J24" t="s">
        <v>78</v>
      </c>
      <c r="K24" t="s">
        <v>26</v>
      </c>
      <c r="L24" t="s">
        <v>27</v>
      </c>
      <c r="M24" t="s">
        <v>165</v>
      </c>
      <c r="N24">
        <v>1399.98</v>
      </c>
      <c r="O24" t="s">
        <v>29</v>
      </c>
      <c r="P24" t="s">
        <v>122</v>
      </c>
      <c r="Q24">
        <v>2025</v>
      </c>
      <c r="R24">
        <v>3</v>
      </c>
    </row>
    <row r="25" spans="1:18">
      <c r="A25" t="s">
        <v>166</v>
      </c>
      <c r="B25" t="s">
        <v>167</v>
      </c>
      <c r="C25" t="s">
        <v>120</v>
      </c>
      <c r="D25" t="s">
        <v>92</v>
      </c>
      <c r="E25" t="s">
        <v>22</v>
      </c>
      <c r="F25" t="s">
        <v>23</v>
      </c>
      <c r="G25" t="s">
        <v>24</v>
      </c>
      <c r="H25">
        <v>4</v>
      </c>
      <c r="I25">
        <v>199.99</v>
      </c>
      <c r="J25" t="s">
        <v>38</v>
      </c>
      <c r="K25" t="s">
        <v>79</v>
      </c>
      <c r="L25" t="s">
        <v>59</v>
      </c>
      <c r="M25" t="s">
        <v>168</v>
      </c>
      <c r="N25">
        <v>799.96</v>
      </c>
      <c r="O25" t="s">
        <v>29</v>
      </c>
      <c r="P25" t="s">
        <v>68</v>
      </c>
      <c r="Q25">
        <v>2024</v>
      </c>
      <c r="R25">
        <v>4</v>
      </c>
    </row>
    <row r="26" spans="1:18">
      <c r="A26" t="s">
        <v>169</v>
      </c>
      <c r="B26" t="s">
        <v>170</v>
      </c>
      <c r="C26" t="s">
        <v>171</v>
      </c>
      <c r="D26" t="s">
        <v>172</v>
      </c>
      <c r="E26" t="s">
        <v>47</v>
      </c>
      <c r="F26" t="s">
        <v>48</v>
      </c>
      <c r="G26" t="s">
        <v>37</v>
      </c>
      <c r="H26">
        <v>2</v>
      </c>
      <c r="I26">
        <v>699.99</v>
      </c>
      <c r="J26" t="s">
        <v>38</v>
      </c>
      <c r="K26" t="s">
        <v>137</v>
      </c>
      <c r="L26" t="s">
        <v>27</v>
      </c>
      <c r="M26" t="s">
        <v>173</v>
      </c>
      <c r="N26">
        <v>1399.98</v>
      </c>
      <c r="O26" t="s">
        <v>29</v>
      </c>
      <c r="P26" t="s">
        <v>68</v>
      </c>
      <c r="Q26">
        <v>2024</v>
      </c>
      <c r="R26">
        <v>3</v>
      </c>
    </row>
    <row r="27" spans="1:18">
      <c r="A27" t="s">
        <v>174</v>
      </c>
      <c r="B27" t="s">
        <v>175</v>
      </c>
      <c r="C27" t="s">
        <v>163</v>
      </c>
      <c r="D27" t="s">
        <v>72</v>
      </c>
      <c r="E27" t="s">
        <v>35</v>
      </c>
      <c r="F27" t="s">
        <v>36</v>
      </c>
      <c r="G27" t="s">
        <v>37</v>
      </c>
      <c r="H27">
        <v>2</v>
      </c>
      <c r="I27">
        <v>899.99</v>
      </c>
      <c r="J27" t="s">
        <v>25</v>
      </c>
      <c r="K27" t="s">
        <v>50</v>
      </c>
      <c r="L27" t="s">
        <v>59</v>
      </c>
      <c r="M27" t="s">
        <v>176</v>
      </c>
      <c r="N27">
        <v>1799.98</v>
      </c>
      <c r="O27" t="s">
        <v>29</v>
      </c>
      <c r="P27" t="s">
        <v>106</v>
      </c>
      <c r="Q27">
        <v>2025</v>
      </c>
      <c r="R27">
        <v>3</v>
      </c>
    </row>
    <row r="28" spans="1:18">
      <c r="A28" t="s">
        <v>177</v>
      </c>
      <c r="B28" t="s">
        <v>178</v>
      </c>
      <c r="C28" t="s">
        <v>155</v>
      </c>
      <c r="D28" t="s">
        <v>179</v>
      </c>
      <c r="E28" t="s">
        <v>47</v>
      </c>
      <c r="F28" t="s">
        <v>48</v>
      </c>
      <c r="G28" t="s">
        <v>37</v>
      </c>
      <c r="H28">
        <v>3</v>
      </c>
      <c r="I28">
        <v>699.99</v>
      </c>
      <c r="J28" t="s">
        <v>49</v>
      </c>
      <c r="K28" t="s">
        <v>50</v>
      </c>
      <c r="L28" t="s">
        <v>27</v>
      </c>
      <c r="M28" t="s">
        <v>180</v>
      </c>
      <c r="N28">
        <v>2099.97</v>
      </c>
      <c r="O28" t="s">
        <v>29</v>
      </c>
      <c r="P28" t="s">
        <v>106</v>
      </c>
      <c r="Q28">
        <v>2025</v>
      </c>
      <c r="R28">
        <v>3</v>
      </c>
    </row>
    <row r="29" spans="1:18">
      <c r="A29" t="s">
        <v>181</v>
      </c>
      <c r="B29" t="s">
        <v>182</v>
      </c>
      <c r="C29" t="s">
        <v>183</v>
      </c>
      <c r="D29" t="s">
        <v>21</v>
      </c>
      <c r="E29" t="s">
        <v>150</v>
      </c>
      <c r="F29" t="s">
        <v>151</v>
      </c>
      <c r="G29" t="s">
        <v>37</v>
      </c>
      <c r="H29">
        <v>3</v>
      </c>
      <c r="I29">
        <v>249.99</v>
      </c>
      <c r="J29" t="s">
        <v>38</v>
      </c>
      <c r="K29" t="s">
        <v>137</v>
      </c>
      <c r="L29" t="s">
        <v>40</v>
      </c>
      <c r="M29" t="s">
        <v>184</v>
      </c>
      <c r="N29">
        <v>749.97</v>
      </c>
      <c r="O29" t="s">
        <v>29</v>
      </c>
      <c r="P29" t="s">
        <v>185</v>
      </c>
      <c r="Q29">
        <v>2024</v>
      </c>
      <c r="R29">
        <v>4</v>
      </c>
    </row>
    <row r="30" spans="1:18">
      <c r="A30" t="s">
        <v>186</v>
      </c>
      <c r="B30" t="s">
        <v>187</v>
      </c>
      <c r="C30" t="s">
        <v>188</v>
      </c>
      <c r="D30" t="s">
        <v>189</v>
      </c>
      <c r="E30" t="s">
        <v>150</v>
      </c>
      <c r="F30" t="s">
        <v>151</v>
      </c>
      <c r="G30" t="s">
        <v>37</v>
      </c>
      <c r="H30">
        <v>4</v>
      </c>
      <c r="I30">
        <v>249.99</v>
      </c>
      <c r="J30" t="s">
        <v>78</v>
      </c>
      <c r="K30" t="s">
        <v>79</v>
      </c>
      <c r="L30" t="s">
        <v>59</v>
      </c>
      <c r="M30" t="s">
        <v>190</v>
      </c>
      <c r="N30">
        <v>999.96</v>
      </c>
      <c r="O30" t="s">
        <v>29</v>
      </c>
      <c r="P30" t="s">
        <v>30</v>
      </c>
      <c r="Q30">
        <v>2024</v>
      </c>
      <c r="R30">
        <v>5</v>
      </c>
    </row>
    <row r="31" spans="1:18">
      <c r="A31" t="s">
        <v>191</v>
      </c>
      <c r="B31" t="s">
        <v>192</v>
      </c>
      <c r="C31" t="s">
        <v>91</v>
      </c>
      <c r="D31" t="s">
        <v>179</v>
      </c>
      <c r="E31" t="s">
        <v>126</v>
      </c>
      <c r="F31" t="s">
        <v>127</v>
      </c>
      <c r="G31" t="s">
        <v>95</v>
      </c>
      <c r="H31">
        <v>5</v>
      </c>
      <c r="I31">
        <v>79.99</v>
      </c>
      <c r="J31" t="s">
        <v>78</v>
      </c>
      <c r="K31" t="s">
        <v>39</v>
      </c>
      <c r="L31" t="s">
        <v>40</v>
      </c>
      <c r="M31" t="s">
        <v>193</v>
      </c>
      <c r="N31">
        <v>399.95</v>
      </c>
      <c r="O31" t="s">
        <v>29</v>
      </c>
      <c r="P31" t="s">
        <v>30</v>
      </c>
      <c r="Q31">
        <v>2024</v>
      </c>
      <c r="R31">
        <v>2</v>
      </c>
    </row>
    <row r="32" spans="1:18">
      <c r="A32" t="s">
        <v>194</v>
      </c>
      <c r="B32" t="s">
        <v>195</v>
      </c>
      <c r="C32" t="s">
        <v>196</v>
      </c>
      <c r="D32" t="s">
        <v>197</v>
      </c>
      <c r="E32" t="s">
        <v>47</v>
      </c>
      <c r="F32" t="s">
        <v>48</v>
      </c>
      <c r="G32" t="s">
        <v>37</v>
      </c>
      <c r="H32">
        <v>2</v>
      </c>
      <c r="I32">
        <v>699.99</v>
      </c>
      <c r="J32" t="s">
        <v>38</v>
      </c>
      <c r="K32" t="s">
        <v>50</v>
      </c>
      <c r="L32" t="s">
        <v>27</v>
      </c>
      <c r="M32" t="s">
        <v>198</v>
      </c>
      <c r="N32">
        <v>1399.98</v>
      </c>
      <c r="O32" t="s">
        <v>29</v>
      </c>
      <c r="P32" t="s">
        <v>81</v>
      </c>
      <c r="Q32">
        <v>2024</v>
      </c>
      <c r="R32">
        <v>4</v>
      </c>
    </row>
    <row r="33" spans="1:18">
      <c r="A33" t="s">
        <v>199</v>
      </c>
      <c r="B33" t="s">
        <v>192</v>
      </c>
      <c r="C33" t="s">
        <v>200</v>
      </c>
      <c r="D33" t="s">
        <v>46</v>
      </c>
      <c r="E33" t="s">
        <v>35</v>
      </c>
      <c r="F33" t="s">
        <v>36</v>
      </c>
      <c r="G33" t="s">
        <v>37</v>
      </c>
      <c r="H33">
        <v>4</v>
      </c>
      <c r="I33">
        <v>899.99</v>
      </c>
      <c r="J33" t="s">
        <v>38</v>
      </c>
      <c r="K33" t="s">
        <v>137</v>
      </c>
      <c r="L33" t="s">
        <v>59</v>
      </c>
      <c r="M33" t="s">
        <v>201</v>
      </c>
      <c r="N33">
        <v>3599.96</v>
      </c>
      <c r="O33" t="s">
        <v>29</v>
      </c>
      <c r="P33" t="s">
        <v>30</v>
      </c>
      <c r="Q33">
        <v>2024</v>
      </c>
      <c r="R33">
        <v>4</v>
      </c>
    </row>
    <row r="34" spans="1:18">
      <c r="A34" t="s">
        <v>202</v>
      </c>
      <c r="B34" t="s">
        <v>203</v>
      </c>
      <c r="C34" t="s">
        <v>91</v>
      </c>
      <c r="D34" t="s">
        <v>116</v>
      </c>
      <c r="E34" t="s">
        <v>65</v>
      </c>
      <c r="F34" t="s">
        <v>66</v>
      </c>
      <c r="G34" t="s">
        <v>37</v>
      </c>
      <c r="H34">
        <v>4</v>
      </c>
      <c r="I34">
        <v>149.99</v>
      </c>
      <c r="J34" t="s">
        <v>38</v>
      </c>
      <c r="K34" t="s">
        <v>79</v>
      </c>
      <c r="L34" t="s">
        <v>27</v>
      </c>
      <c r="M34" t="s">
        <v>204</v>
      </c>
      <c r="N34">
        <v>599.96</v>
      </c>
      <c r="O34" t="s">
        <v>29</v>
      </c>
      <c r="P34" t="s">
        <v>88</v>
      </c>
      <c r="Q34">
        <v>2024</v>
      </c>
      <c r="R34">
        <v>4</v>
      </c>
    </row>
    <row r="35" spans="1:18">
      <c r="A35" t="s">
        <v>205</v>
      </c>
      <c r="B35" t="s">
        <v>206</v>
      </c>
      <c r="C35" t="s">
        <v>188</v>
      </c>
      <c r="D35" t="s">
        <v>134</v>
      </c>
      <c r="E35" t="s">
        <v>47</v>
      </c>
      <c r="F35" t="s">
        <v>48</v>
      </c>
      <c r="G35" t="s">
        <v>37</v>
      </c>
      <c r="H35">
        <v>2</v>
      </c>
      <c r="I35">
        <v>699.99</v>
      </c>
      <c r="J35" t="s">
        <v>38</v>
      </c>
      <c r="K35" t="s">
        <v>137</v>
      </c>
      <c r="L35" t="s">
        <v>27</v>
      </c>
      <c r="M35" t="s">
        <v>207</v>
      </c>
      <c r="N35">
        <v>1399.98</v>
      </c>
      <c r="O35" t="s">
        <v>29</v>
      </c>
      <c r="P35" t="s">
        <v>42</v>
      </c>
      <c r="Q35">
        <v>2024</v>
      </c>
      <c r="R35">
        <v>4</v>
      </c>
    </row>
    <row r="36" spans="1:18">
      <c r="A36" t="s">
        <v>208</v>
      </c>
      <c r="B36" t="s">
        <v>209</v>
      </c>
      <c r="C36" t="s">
        <v>71</v>
      </c>
      <c r="D36" t="s">
        <v>64</v>
      </c>
      <c r="E36" t="s">
        <v>57</v>
      </c>
      <c r="F36" t="s">
        <v>58</v>
      </c>
      <c r="G36" t="s">
        <v>37</v>
      </c>
      <c r="H36">
        <v>4</v>
      </c>
      <c r="I36">
        <v>89.99</v>
      </c>
      <c r="J36" t="s">
        <v>49</v>
      </c>
      <c r="K36" t="s">
        <v>39</v>
      </c>
      <c r="L36" t="s">
        <v>40</v>
      </c>
      <c r="M36" t="s">
        <v>210</v>
      </c>
      <c r="N36">
        <v>359.96</v>
      </c>
      <c r="O36" t="s">
        <v>29</v>
      </c>
      <c r="P36" t="s">
        <v>30</v>
      </c>
      <c r="Q36">
        <v>2024</v>
      </c>
      <c r="R36">
        <v>4</v>
      </c>
    </row>
    <row r="37" spans="1:18">
      <c r="A37" t="s">
        <v>211</v>
      </c>
      <c r="B37" t="s">
        <v>212</v>
      </c>
      <c r="C37" t="s">
        <v>213</v>
      </c>
      <c r="D37" t="s">
        <v>21</v>
      </c>
      <c r="E37" t="s">
        <v>47</v>
      </c>
      <c r="F37" t="s">
        <v>48</v>
      </c>
      <c r="G37" t="s">
        <v>37</v>
      </c>
      <c r="H37">
        <v>5</v>
      </c>
      <c r="I37">
        <v>699.99</v>
      </c>
      <c r="J37" t="s">
        <v>49</v>
      </c>
      <c r="K37" t="s">
        <v>39</v>
      </c>
      <c r="L37" t="s">
        <v>59</v>
      </c>
      <c r="M37" t="s">
        <v>214</v>
      </c>
      <c r="N37">
        <v>3499.95</v>
      </c>
      <c r="O37" t="s">
        <v>29</v>
      </c>
      <c r="P37" t="s">
        <v>68</v>
      </c>
      <c r="Q37">
        <v>2024</v>
      </c>
      <c r="R37">
        <v>2</v>
      </c>
    </row>
    <row r="38" spans="1:18">
      <c r="A38" t="s">
        <v>215</v>
      </c>
      <c r="B38" t="s">
        <v>216</v>
      </c>
      <c r="C38" t="s">
        <v>99</v>
      </c>
      <c r="D38" t="s">
        <v>217</v>
      </c>
      <c r="E38" t="s">
        <v>126</v>
      </c>
      <c r="F38" t="s">
        <v>127</v>
      </c>
      <c r="G38" t="s">
        <v>95</v>
      </c>
      <c r="H38">
        <v>3</v>
      </c>
      <c r="I38">
        <v>79.99</v>
      </c>
      <c r="J38" t="s">
        <v>78</v>
      </c>
      <c r="K38" t="s">
        <v>26</v>
      </c>
      <c r="L38" t="s">
        <v>27</v>
      </c>
      <c r="M38" t="s">
        <v>218</v>
      </c>
      <c r="N38">
        <v>239.97</v>
      </c>
      <c r="O38" t="s">
        <v>29</v>
      </c>
      <c r="P38" t="s">
        <v>81</v>
      </c>
      <c r="Q38">
        <v>2024</v>
      </c>
      <c r="R38">
        <v>4</v>
      </c>
    </row>
    <row r="39" spans="1:18">
      <c r="A39" t="s">
        <v>219</v>
      </c>
      <c r="B39" t="s">
        <v>220</v>
      </c>
      <c r="C39" t="s">
        <v>221</v>
      </c>
      <c r="D39" t="s">
        <v>222</v>
      </c>
      <c r="E39" t="s">
        <v>135</v>
      </c>
      <c r="F39" t="s">
        <v>136</v>
      </c>
      <c r="G39" t="s">
        <v>24</v>
      </c>
      <c r="H39">
        <v>2</v>
      </c>
      <c r="I39">
        <v>299.99</v>
      </c>
      <c r="J39" t="s">
        <v>38</v>
      </c>
      <c r="K39" t="s">
        <v>50</v>
      </c>
      <c r="L39" t="s">
        <v>40</v>
      </c>
      <c r="M39" t="s">
        <v>223</v>
      </c>
      <c r="N39">
        <v>599.98</v>
      </c>
      <c r="O39" t="s">
        <v>29</v>
      </c>
      <c r="P39" t="s">
        <v>112</v>
      </c>
      <c r="Q39">
        <v>2024</v>
      </c>
      <c r="R39">
        <v>3</v>
      </c>
    </row>
    <row r="40" spans="1:18">
      <c r="A40" t="s">
        <v>224</v>
      </c>
      <c r="B40" t="s">
        <v>225</v>
      </c>
      <c r="C40" t="s">
        <v>188</v>
      </c>
      <c r="D40" t="s">
        <v>226</v>
      </c>
      <c r="E40" t="s">
        <v>150</v>
      </c>
      <c r="F40" t="s">
        <v>151</v>
      </c>
      <c r="G40" t="s">
        <v>37</v>
      </c>
      <c r="H40">
        <v>2</v>
      </c>
      <c r="I40">
        <v>249.99</v>
      </c>
      <c r="J40" t="s">
        <v>38</v>
      </c>
      <c r="K40" t="s">
        <v>137</v>
      </c>
      <c r="L40" t="s">
        <v>27</v>
      </c>
      <c r="M40" t="s">
        <v>227</v>
      </c>
      <c r="N40">
        <v>499.98</v>
      </c>
      <c r="O40" t="s">
        <v>29</v>
      </c>
      <c r="P40" t="s">
        <v>106</v>
      </c>
      <c r="Q40">
        <v>2025</v>
      </c>
      <c r="R40">
        <v>2</v>
      </c>
    </row>
    <row r="41" spans="1:18">
      <c r="A41" t="s">
        <v>228</v>
      </c>
      <c r="B41" t="s">
        <v>229</v>
      </c>
      <c r="C41" t="s">
        <v>230</v>
      </c>
      <c r="D41" t="s">
        <v>231</v>
      </c>
      <c r="E41" t="s">
        <v>35</v>
      </c>
      <c r="F41" t="s">
        <v>36</v>
      </c>
      <c r="G41" t="s">
        <v>37</v>
      </c>
      <c r="H41">
        <v>2</v>
      </c>
      <c r="I41">
        <v>899.99</v>
      </c>
      <c r="J41" t="s">
        <v>25</v>
      </c>
      <c r="K41" t="s">
        <v>50</v>
      </c>
      <c r="L41" t="s">
        <v>40</v>
      </c>
      <c r="M41" t="s">
        <v>232</v>
      </c>
      <c r="N41">
        <v>1799.98</v>
      </c>
      <c r="O41" t="s">
        <v>29</v>
      </c>
      <c r="P41" t="s">
        <v>42</v>
      </c>
      <c r="Q41">
        <v>2024</v>
      </c>
      <c r="R41">
        <v>4</v>
      </c>
    </row>
    <row r="42" spans="1:18">
      <c r="A42" t="s">
        <v>233</v>
      </c>
      <c r="B42" t="s">
        <v>234</v>
      </c>
      <c r="C42" t="s">
        <v>230</v>
      </c>
      <c r="D42" t="s">
        <v>189</v>
      </c>
      <c r="E42" t="s">
        <v>22</v>
      </c>
      <c r="F42" t="s">
        <v>23</v>
      </c>
      <c r="G42" t="s">
        <v>24</v>
      </c>
      <c r="H42">
        <v>5</v>
      </c>
      <c r="I42">
        <v>199.99</v>
      </c>
      <c r="J42" t="s">
        <v>25</v>
      </c>
      <c r="K42" t="s">
        <v>50</v>
      </c>
      <c r="L42" t="s">
        <v>40</v>
      </c>
      <c r="M42" t="s">
        <v>235</v>
      </c>
      <c r="N42">
        <v>999.95</v>
      </c>
      <c r="O42" t="s">
        <v>29</v>
      </c>
      <c r="P42" t="s">
        <v>106</v>
      </c>
      <c r="Q42">
        <v>2025</v>
      </c>
      <c r="R42">
        <v>2</v>
      </c>
    </row>
    <row r="43" spans="1:18">
      <c r="A43" t="s">
        <v>236</v>
      </c>
      <c r="B43" t="s">
        <v>237</v>
      </c>
      <c r="C43" t="s">
        <v>238</v>
      </c>
      <c r="D43" t="s">
        <v>46</v>
      </c>
      <c r="E43" t="s">
        <v>126</v>
      </c>
      <c r="F43" t="s">
        <v>127</v>
      </c>
      <c r="G43" t="s">
        <v>95</v>
      </c>
      <c r="H43">
        <v>2</v>
      </c>
      <c r="I43">
        <v>79.99</v>
      </c>
      <c r="J43" t="s">
        <v>38</v>
      </c>
      <c r="K43" t="s">
        <v>50</v>
      </c>
      <c r="L43" t="s">
        <v>40</v>
      </c>
      <c r="M43" t="s">
        <v>239</v>
      </c>
      <c r="N43">
        <v>159.98</v>
      </c>
      <c r="O43" t="s">
        <v>29</v>
      </c>
      <c r="P43" t="s">
        <v>185</v>
      </c>
      <c r="Q43">
        <v>2024</v>
      </c>
      <c r="R43">
        <v>5</v>
      </c>
    </row>
    <row r="44" spans="1:18">
      <c r="A44" t="s">
        <v>240</v>
      </c>
      <c r="B44" t="s">
        <v>241</v>
      </c>
      <c r="C44" t="s">
        <v>242</v>
      </c>
      <c r="D44" t="s">
        <v>243</v>
      </c>
      <c r="E44" t="s">
        <v>47</v>
      </c>
      <c r="F44" t="s">
        <v>48</v>
      </c>
      <c r="G44" t="s">
        <v>37</v>
      </c>
      <c r="H44">
        <v>4</v>
      </c>
      <c r="I44">
        <v>699.99</v>
      </c>
      <c r="J44" t="s">
        <v>49</v>
      </c>
      <c r="K44" t="s">
        <v>26</v>
      </c>
      <c r="L44" t="s">
        <v>59</v>
      </c>
      <c r="M44" t="s">
        <v>244</v>
      </c>
      <c r="N44">
        <v>2799.96</v>
      </c>
      <c r="O44" t="s">
        <v>29</v>
      </c>
      <c r="P44" t="s">
        <v>88</v>
      </c>
      <c r="Q44">
        <v>2024</v>
      </c>
      <c r="R44">
        <v>2</v>
      </c>
    </row>
    <row r="45" spans="1:18">
      <c r="A45" t="s">
        <v>245</v>
      </c>
      <c r="B45" t="s">
        <v>246</v>
      </c>
      <c r="C45" t="s">
        <v>183</v>
      </c>
      <c r="D45" t="s">
        <v>72</v>
      </c>
      <c r="E45" t="s">
        <v>150</v>
      </c>
      <c r="F45" t="s">
        <v>151</v>
      </c>
      <c r="G45" t="s">
        <v>37</v>
      </c>
      <c r="H45">
        <v>5</v>
      </c>
      <c r="I45">
        <v>249.99</v>
      </c>
      <c r="J45" t="s">
        <v>78</v>
      </c>
      <c r="K45" t="s">
        <v>50</v>
      </c>
      <c r="L45" t="s">
        <v>40</v>
      </c>
      <c r="M45" t="s">
        <v>247</v>
      </c>
      <c r="N45">
        <v>1249.95</v>
      </c>
      <c r="O45" t="s">
        <v>29</v>
      </c>
      <c r="P45" t="s">
        <v>81</v>
      </c>
      <c r="Q45">
        <v>2024</v>
      </c>
      <c r="R45">
        <v>2</v>
      </c>
    </row>
    <row r="46" spans="1:18">
      <c r="A46" t="s">
        <v>248</v>
      </c>
      <c r="B46" t="s">
        <v>249</v>
      </c>
      <c r="C46" t="s">
        <v>149</v>
      </c>
      <c r="D46" t="s">
        <v>92</v>
      </c>
      <c r="E46" t="s">
        <v>85</v>
      </c>
      <c r="F46" t="s">
        <v>86</v>
      </c>
      <c r="G46" t="s">
        <v>24</v>
      </c>
      <c r="H46">
        <v>2</v>
      </c>
      <c r="I46">
        <v>149.99</v>
      </c>
      <c r="J46" t="s">
        <v>78</v>
      </c>
      <c r="K46" t="s">
        <v>39</v>
      </c>
      <c r="L46" t="s">
        <v>27</v>
      </c>
      <c r="M46" t="s">
        <v>250</v>
      </c>
      <c r="N46">
        <v>299.98</v>
      </c>
      <c r="O46" t="s">
        <v>29</v>
      </c>
      <c r="P46" t="s">
        <v>52</v>
      </c>
      <c r="Q46">
        <v>2024</v>
      </c>
      <c r="R46">
        <v>4</v>
      </c>
    </row>
    <row r="47" spans="1:18">
      <c r="A47" t="s">
        <v>251</v>
      </c>
      <c r="B47" t="s">
        <v>252</v>
      </c>
      <c r="C47" t="s">
        <v>200</v>
      </c>
      <c r="D47" t="s">
        <v>253</v>
      </c>
      <c r="E47" t="s">
        <v>126</v>
      </c>
      <c r="F47" t="s">
        <v>127</v>
      </c>
      <c r="G47" t="s">
        <v>95</v>
      </c>
      <c r="H47">
        <v>4</v>
      </c>
      <c r="I47">
        <v>79.99</v>
      </c>
      <c r="J47" t="s">
        <v>25</v>
      </c>
      <c r="K47" t="s">
        <v>137</v>
      </c>
      <c r="L47" t="s">
        <v>27</v>
      </c>
      <c r="M47" t="s">
        <v>254</v>
      </c>
      <c r="N47">
        <v>319.96</v>
      </c>
      <c r="O47" t="s">
        <v>29</v>
      </c>
      <c r="P47" t="s">
        <v>112</v>
      </c>
      <c r="Q47">
        <v>2024</v>
      </c>
      <c r="R47">
        <v>4</v>
      </c>
    </row>
    <row r="48" spans="1:18">
      <c r="A48" t="s">
        <v>255</v>
      </c>
      <c r="B48" t="s">
        <v>256</v>
      </c>
      <c r="C48" t="s">
        <v>221</v>
      </c>
      <c r="D48" t="s">
        <v>257</v>
      </c>
      <c r="E48" t="s">
        <v>22</v>
      </c>
      <c r="F48" t="s">
        <v>23</v>
      </c>
      <c r="G48" t="s">
        <v>24</v>
      </c>
      <c r="H48">
        <v>2</v>
      </c>
      <c r="I48">
        <v>199.99</v>
      </c>
      <c r="J48" t="s">
        <v>25</v>
      </c>
      <c r="K48" t="s">
        <v>79</v>
      </c>
      <c r="L48" t="s">
        <v>59</v>
      </c>
      <c r="M48" t="s">
        <v>258</v>
      </c>
      <c r="N48">
        <v>399.98</v>
      </c>
      <c r="O48" t="s">
        <v>29</v>
      </c>
      <c r="P48" t="s">
        <v>185</v>
      </c>
      <c r="Q48">
        <v>2024</v>
      </c>
      <c r="R48">
        <v>4</v>
      </c>
    </row>
    <row r="49" spans="1:18">
      <c r="A49" t="s">
        <v>259</v>
      </c>
      <c r="B49" t="s">
        <v>260</v>
      </c>
      <c r="C49" t="s">
        <v>261</v>
      </c>
      <c r="D49" t="s">
        <v>116</v>
      </c>
      <c r="E49" t="s">
        <v>65</v>
      </c>
      <c r="F49" t="s">
        <v>66</v>
      </c>
      <c r="G49" t="s">
        <v>37</v>
      </c>
      <c r="H49">
        <v>2</v>
      </c>
      <c r="I49">
        <v>149.99</v>
      </c>
      <c r="J49" t="s">
        <v>78</v>
      </c>
      <c r="K49" t="s">
        <v>79</v>
      </c>
      <c r="L49" t="s">
        <v>40</v>
      </c>
      <c r="M49" t="s">
        <v>262</v>
      </c>
      <c r="N49">
        <v>299.98</v>
      </c>
      <c r="O49" t="s">
        <v>29</v>
      </c>
      <c r="P49" t="s">
        <v>42</v>
      </c>
      <c r="Q49">
        <v>2024</v>
      </c>
      <c r="R49">
        <v>2</v>
      </c>
    </row>
    <row r="50" spans="1:18">
      <c r="A50" t="s">
        <v>263</v>
      </c>
      <c r="B50" t="s">
        <v>264</v>
      </c>
      <c r="C50" t="s">
        <v>188</v>
      </c>
      <c r="D50" t="s">
        <v>100</v>
      </c>
      <c r="E50" t="s">
        <v>22</v>
      </c>
      <c r="F50" t="s">
        <v>23</v>
      </c>
      <c r="G50" t="s">
        <v>24</v>
      </c>
      <c r="H50">
        <v>3</v>
      </c>
      <c r="I50">
        <v>199.99</v>
      </c>
      <c r="J50" t="s">
        <v>38</v>
      </c>
      <c r="K50" t="s">
        <v>79</v>
      </c>
      <c r="L50" t="s">
        <v>27</v>
      </c>
      <c r="M50" t="s">
        <v>265</v>
      </c>
      <c r="N50">
        <v>599.97</v>
      </c>
      <c r="O50" t="s">
        <v>29</v>
      </c>
      <c r="P50" t="s">
        <v>112</v>
      </c>
      <c r="Q50">
        <v>2024</v>
      </c>
      <c r="R50">
        <v>3</v>
      </c>
    </row>
    <row r="51" spans="1:18">
      <c r="A51" t="s">
        <v>266</v>
      </c>
      <c r="B51" t="s">
        <v>267</v>
      </c>
      <c r="C51" t="s">
        <v>268</v>
      </c>
      <c r="D51" t="s">
        <v>253</v>
      </c>
      <c r="E51" t="s">
        <v>35</v>
      </c>
      <c r="F51" t="s">
        <v>36</v>
      </c>
      <c r="G51" t="s">
        <v>37</v>
      </c>
      <c r="H51">
        <v>4</v>
      </c>
      <c r="I51">
        <v>899.99</v>
      </c>
      <c r="J51" t="s">
        <v>25</v>
      </c>
      <c r="K51" t="s">
        <v>39</v>
      </c>
      <c r="L51" t="s">
        <v>40</v>
      </c>
      <c r="M51" t="s">
        <v>269</v>
      </c>
      <c r="N51">
        <v>3599.96</v>
      </c>
      <c r="O51" t="s">
        <v>29</v>
      </c>
      <c r="P51" t="s">
        <v>88</v>
      </c>
      <c r="Q51">
        <v>2024</v>
      </c>
      <c r="R51">
        <v>2</v>
      </c>
    </row>
    <row r="52" spans="1:18">
      <c r="A52" t="s">
        <v>270</v>
      </c>
      <c r="B52" t="s">
        <v>271</v>
      </c>
      <c r="C52" t="s">
        <v>272</v>
      </c>
      <c r="D52" t="s">
        <v>273</v>
      </c>
      <c r="E52" t="s">
        <v>47</v>
      </c>
      <c r="F52" t="s">
        <v>48</v>
      </c>
      <c r="G52" t="s">
        <v>37</v>
      </c>
      <c r="H52">
        <v>1</v>
      </c>
      <c r="I52">
        <v>699.99</v>
      </c>
      <c r="J52" t="s">
        <v>49</v>
      </c>
      <c r="K52" t="s">
        <v>26</v>
      </c>
      <c r="L52" t="s">
        <v>40</v>
      </c>
      <c r="M52" t="s">
        <v>274</v>
      </c>
      <c r="N52">
        <v>699.99</v>
      </c>
      <c r="O52" t="s">
        <v>29</v>
      </c>
      <c r="P52" t="s">
        <v>185</v>
      </c>
      <c r="Q52">
        <v>2024</v>
      </c>
      <c r="R52">
        <v>3</v>
      </c>
    </row>
    <row r="53" spans="1:18">
      <c r="A53" t="s">
        <v>275</v>
      </c>
      <c r="B53" t="s">
        <v>276</v>
      </c>
      <c r="C53" t="s">
        <v>159</v>
      </c>
      <c r="D53" t="s">
        <v>277</v>
      </c>
      <c r="E53" t="s">
        <v>135</v>
      </c>
      <c r="F53" t="s">
        <v>136</v>
      </c>
      <c r="G53" t="s">
        <v>24</v>
      </c>
      <c r="H53">
        <v>3</v>
      </c>
      <c r="I53">
        <v>299.99</v>
      </c>
      <c r="J53" t="s">
        <v>38</v>
      </c>
      <c r="K53" t="s">
        <v>26</v>
      </c>
      <c r="L53" t="s">
        <v>40</v>
      </c>
      <c r="M53" t="s">
        <v>278</v>
      </c>
      <c r="N53">
        <v>899.97</v>
      </c>
      <c r="O53" t="s">
        <v>29</v>
      </c>
      <c r="P53" t="s">
        <v>52</v>
      </c>
      <c r="Q53">
        <v>2024</v>
      </c>
      <c r="R53">
        <v>4</v>
      </c>
    </row>
    <row r="54" spans="1:18">
      <c r="A54" t="s">
        <v>279</v>
      </c>
      <c r="B54" t="s">
        <v>140</v>
      </c>
      <c r="C54" t="s">
        <v>20</v>
      </c>
      <c r="D54" t="s">
        <v>172</v>
      </c>
      <c r="E54" t="s">
        <v>93</v>
      </c>
      <c r="F54" t="s">
        <v>94</v>
      </c>
      <c r="G54" t="s">
        <v>95</v>
      </c>
      <c r="H54">
        <v>1</v>
      </c>
      <c r="I54">
        <v>59.99</v>
      </c>
      <c r="J54" t="s">
        <v>25</v>
      </c>
      <c r="K54" t="s">
        <v>39</v>
      </c>
      <c r="L54" t="s">
        <v>59</v>
      </c>
      <c r="M54" t="s">
        <v>280</v>
      </c>
      <c r="N54">
        <v>59.99</v>
      </c>
      <c r="O54" t="s">
        <v>29</v>
      </c>
      <c r="P54" t="s">
        <v>42</v>
      </c>
      <c r="Q54">
        <v>2024</v>
      </c>
      <c r="R54">
        <v>2</v>
      </c>
    </row>
    <row r="55" spans="1:18">
      <c r="A55" t="s">
        <v>281</v>
      </c>
      <c r="B55" t="s">
        <v>282</v>
      </c>
      <c r="C55" t="s">
        <v>283</v>
      </c>
      <c r="D55" t="s">
        <v>226</v>
      </c>
      <c r="E55" t="s">
        <v>47</v>
      </c>
      <c r="F55" t="s">
        <v>48</v>
      </c>
      <c r="G55" t="s">
        <v>37</v>
      </c>
      <c r="H55">
        <v>5</v>
      </c>
      <c r="I55">
        <v>699.99</v>
      </c>
      <c r="J55" t="s">
        <v>25</v>
      </c>
      <c r="K55" t="s">
        <v>79</v>
      </c>
      <c r="L55" t="s">
        <v>40</v>
      </c>
      <c r="M55" t="s">
        <v>284</v>
      </c>
      <c r="N55">
        <v>3499.95</v>
      </c>
      <c r="O55" t="s">
        <v>29</v>
      </c>
      <c r="P55" t="s">
        <v>185</v>
      </c>
      <c r="Q55">
        <v>2024</v>
      </c>
      <c r="R55">
        <v>4</v>
      </c>
    </row>
    <row r="56" spans="1:18">
      <c r="A56" t="s">
        <v>285</v>
      </c>
      <c r="B56" t="s">
        <v>249</v>
      </c>
      <c r="C56" t="s">
        <v>268</v>
      </c>
      <c r="D56" t="s">
        <v>134</v>
      </c>
      <c r="E56" t="s">
        <v>22</v>
      </c>
      <c r="F56" t="s">
        <v>23</v>
      </c>
      <c r="G56" t="s">
        <v>24</v>
      </c>
      <c r="H56">
        <v>5</v>
      </c>
      <c r="I56">
        <v>199.99</v>
      </c>
      <c r="J56" t="s">
        <v>25</v>
      </c>
      <c r="K56" t="s">
        <v>50</v>
      </c>
      <c r="L56" t="s">
        <v>27</v>
      </c>
      <c r="M56" t="s">
        <v>286</v>
      </c>
      <c r="N56">
        <v>999.95</v>
      </c>
      <c r="O56" t="s">
        <v>29</v>
      </c>
      <c r="P56" t="s">
        <v>52</v>
      </c>
      <c r="Q56">
        <v>2024</v>
      </c>
      <c r="R56">
        <v>3</v>
      </c>
    </row>
    <row r="57" spans="1:18">
      <c r="A57" t="s">
        <v>287</v>
      </c>
      <c r="B57" t="s">
        <v>260</v>
      </c>
      <c r="C57" t="s">
        <v>288</v>
      </c>
      <c r="D57" t="s">
        <v>125</v>
      </c>
      <c r="E57" t="s">
        <v>126</v>
      </c>
      <c r="F57" t="s">
        <v>127</v>
      </c>
      <c r="G57" t="s">
        <v>95</v>
      </c>
      <c r="H57">
        <v>1</v>
      </c>
      <c r="I57">
        <v>79.99</v>
      </c>
      <c r="J57" t="s">
        <v>49</v>
      </c>
      <c r="K57" t="s">
        <v>26</v>
      </c>
      <c r="L57" t="s">
        <v>27</v>
      </c>
      <c r="M57" t="s">
        <v>289</v>
      </c>
      <c r="N57">
        <v>79.99</v>
      </c>
      <c r="O57" t="s">
        <v>29</v>
      </c>
      <c r="P57" t="s">
        <v>42</v>
      </c>
      <c r="Q57">
        <v>2024</v>
      </c>
      <c r="R57">
        <v>3</v>
      </c>
    </row>
    <row r="58" spans="1:18">
      <c r="A58" t="s">
        <v>290</v>
      </c>
      <c r="B58" t="s">
        <v>291</v>
      </c>
      <c r="C58" t="s">
        <v>292</v>
      </c>
      <c r="D58" t="s">
        <v>243</v>
      </c>
      <c r="E58" t="s">
        <v>93</v>
      </c>
      <c r="F58" t="s">
        <v>94</v>
      </c>
      <c r="G58" t="s">
        <v>95</v>
      </c>
      <c r="H58">
        <v>5</v>
      </c>
      <c r="I58">
        <v>59.99</v>
      </c>
      <c r="J58" t="s">
        <v>49</v>
      </c>
      <c r="K58" t="s">
        <v>26</v>
      </c>
      <c r="L58" t="s">
        <v>59</v>
      </c>
      <c r="M58" t="s">
        <v>293</v>
      </c>
      <c r="N58">
        <v>299.95</v>
      </c>
      <c r="O58" t="s">
        <v>29</v>
      </c>
      <c r="P58" t="s">
        <v>42</v>
      </c>
      <c r="Q58">
        <v>2024</v>
      </c>
      <c r="R58">
        <v>3</v>
      </c>
    </row>
    <row r="59" spans="1:18">
      <c r="A59" t="s">
        <v>294</v>
      </c>
      <c r="B59" t="s">
        <v>295</v>
      </c>
      <c r="C59" t="s">
        <v>188</v>
      </c>
      <c r="D59" t="s">
        <v>296</v>
      </c>
      <c r="E59" t="s">
        <v>35</v>
      </c>
      <c r="F59" t="s">
        <v>36</v>
      </c>
      <c r="G59" t="s">
        <v>37</v>
      </c>
      <c r="H59">
        <v>3</v>
      </c>
      <c r="I59">
        <v>899.99</v>
      </c>
      <c r="J59" t="s">
        <v>49</v>
      </c>
      <c r="K59" t="s">
        <v>50</v>
      </c>
      <c r="L59" t="s">
        <v>59</v>
      </c>
      <c r="M59" t="s">
        <v>297</v>
      </c>
      <c r="N59">
        <v>2699.97</v>
      </c>
      <c r="O59" t="s">
        <v>29</v>
      </c>
      <c r="P59" t="s">
        <v>298</v>
      </c>
      <c r="Q59">
        <v>2024</v>
      </c>
      <c r="R59">
        <v>5</v>
      </c>
    </row>
    <row r="60" spans="1:18">
      <c r="A60" t="s">
        <v>299</v>
      </c>
      <c r="B60" t="s">
        <v>300</v>
      </c>
      <c r="C60" t="s">
        <v>200</v>
      </c>
      <c r="D60" t="s">
        <v>110</v>
      </c>
      <c r="E60" t="s">
        <v>126</v>
      </c>
      <c r="F60" t="s">
        <v>127</v>
      </c>
      <c r="G60" t="s">
        <v>95</v>
      </c>
      <c r="H60">
        <v>4</v>
      </c>
      <c r="I60">
        <v>79.99</v>
      </c>
      <c r="J60" t="s">
        <v>38</v>
      </c>
      <c r="K60" t="s">
        <v>50</v>
      </c>
      <c r="L60" t="s">
        <v>59</v>
      </c>
      <c r="M60" t="s">
        <v>301</v>
      </c>
      <c r="N60">
        <v>319.96</v>
      </c>
      <c r="O60" t="s">
        <v>29</v>
      </c>
      <c r="P60" t="s">
        <v>68</v>
      </c>
      <c r="Q60">
        <v>2024</v>
      </c>
      <c r="R60">
        <v>2</v>
      </c>
    </row>
    <row r="61" spans="1:18">
      <c r="A61" t="s">
        <v>302</v>
      </c>
      <c r="B61" t="s">
        <v>303</v>
      </c>
      <c r="C61" t="s">
        <v>115</v>
      </c>
      <c r="D61" t="s">
        <v>296</v>
      </c>
      <c r="E61" t="s">
        <v>126</v>
      </c>
      <c r="F61" t="s">
        <v>127</v>
      </c>
      <c r="G61" t="s">
        <v>95</v>
      </c>
      <c r="H61">
        <v>2</v>
      </c>
      <c r="I61">
        <v>79.99</v>
      </c>
      <c r="J61" t="s">
        <v>49</v>
      </c>
      <c r="K61" t="s">
        <v>79</v>
      </c>
      <c r="L61" t="s">
        <v>59</v>
      </c>
      <c r="M61" t="s">
        <v>304</v>
      </c>
      <c r="N61">
        <v>159.98</v>
      </c>
      <c r="O61" t="s">
        <v>29</v>
      </c>
      <c r="P61" t="s">
        <v>30</v>
      </c>
      <c r="Q61">
        <v>2024</v>
      </c>
      <c r="R61">
        <v>4</v>
      </c>
    </row>
    <row r="62" spans="1:18">
      <c r="A62" t="s">
        <v>305</v>
      </c>
      <c r="B62" t="s">
        <v>306</v>
      </c>
      <c r="C62" t="s">
        <v>307</v>
      </c>
      <c r="D62" t="s">
        <v>296</v>
      </c>
      <c r="E62" t="s">
        <v>35</v>
      </c>
      <c r="F62" t="s">
        <v>36</v>
      </c>
      <c r="G62" t="s">
        <v>37</v>
      </c>
      <c r="H62">
        <v>2</v>
      </c>
      <c r="I62">
        <v>899.99</v>
      </c>
      <c r="J62" t="s">
        <v>78</v>
      </c>
      <c r="K62" t="s">
        <v>79</v>
      </c>
      <c r="L62" t="s">
        <v>40</v>
      </c>
      <c r="M62" t="s">
        <v>308</v>
      </c>
      <c r="N62">
        <v>1799.98</v>
      </c>
      <c r="O62" t="s">
        <v>29</v>
      </c>
      <c r="P62" t="s">
        <v>298</v>
      </c>
      <c r="Q62">
        <v>2024</v>
      </c>
      <c r="R62">
        <v>4</v>
      </c>
    </row>
    <row r="63" spans="1:18">
      <c r="A63" t="s">
        <v>309</v>
      </c>
      <c r="B63" t="s">
        <v>310</v>
      </c>
      <c r="C63" t="s">
        <v>200</v>
      </c>
      <c r="D63" t="s">
        <v>253</v>
      </c>
      <c r="E63" t="s">
        <v>35</v>
      </c>
      <c r="F63" t="s">
        <v>36</v>
      </c>
      <c r="G63" t="s">
        <v>37</v>
      </c>
      <c r="H63">
        <v>1</v>
      </c>
      <c r="I63">
        <v>899.99</v>
      </c>
      <c r="J63" t="s">
        <v>49</v>
      </c>
      <c r="K63" t="s">
        <v>26</v>
      </c>
      <c r="L63" t="s">
        <v>40</v>
      </c>
      <c r="M63" t="s">
        <v>311</v>
      </c>
      <c r="N63">
        <v>899.99</v>
      </c>
      <c r="O63" t="s">
        <v>29</v>
      </c>
      <c r="P63" t="s">
        <v>30</v>
      </c>
      <c r="Q63">
        <v>2024</v>
      </c>
      <c r="R63">
        <v>2</v>
      </c>
    </row>
    <row r="64" spans="1:18">
      <c r="A64" t="s">
        <v>312</v>
      </c>
      <c r="B64" t="s">
        <v>313</v>
      </c>
      <c r="C64" t="s">
        <v>292</v>
      </c>
      <c r="D64" t="s">
        <v>142</v>
      </c>
      <c r="E64" t="s">
        <v>85</v>
      </c>
      <c r="F64" t="s">
        <v>86</v>
      </c>
      <c r="G64" t="s">
        <v>24</v>
      </c>
      <c r="H64">
        <v>2</v>
      </c>
      <c r="I64">
        <v>149.99</v>
      </c>
      <c r="J64" t="s">
        <v>78</v>
      </c>
      <c r="K64" t="s">
        <v>26</v>
      </c>
      <c r="L64" t="s">
        <v>59</v>
      </c>
      <c r="M64" t="s">
        <v>314</v>
      </c>
      <c r="N64">
        <v>299.98</v>
      </c>
      <c r="O64" t="s">
        <v>29</v>
      </c>
      <c r="P64" t="s">
        <v>68</v>
      </c>
      <c r="Q64">
        <v>2024</v>
      </c>
      <c r="R64">
        <v>3</v>
      </c>
    </row>
    <row r="65" spans="1:18">
      <c r="A65" t="s">
        <v>315</v>
      </c>
      <c r="B65" t="s">
        <v>316</v>
      </c>
      <c r="C65" t="s">
        <v>63</v>
      </c>
      <c r="D65" t="s">
        <v>197</v>
      </c>
      <c r="E65" t="s">
        <v>150</v>
      </c>
      <c r="F65" t="s">
        <v>151</v>
      </c>
      <c r="G65" t="s">
        <v>37</v>
      </c>
      <c r="H65">
        <v>3</v>
      </c>
      <c r="I65">
        <v>249.99</v>
      </c>
      <c r="J65" t="s">
        <v>78</v>
      </c>
      <c r="K65" t="s">
        <v>137</v>
      </c>
      <c r="L65" t="s">
        <v>40</v>
      </c>
      <c r="M65" t="s">
        <v>317</v>
      </c>
      <c r="N65">
        <v>749.97</v>
      </c>
      <c r="O65" t="s">
        <v>29</v>
      </c>
      <c r="P65" t="s">
        <v>185</v>
      </c>
      <c r="Q65">
        <v>2024</v>
      </c>
      <c r="R65">
        <v>5</v>
      </c>
    </row>
    <row r="66" spans="1:18">
      <c r="A66" t="s">
        <v>318</v>
      </c>
      <c r="B66" t="s">
        <v>319</v>
      </c>
      <c r="C66" t="s">
        <v>109</v>
      </c>
      <c r="D66" t="s">
        <v>243</v>
      </c>
      <c r="E66" t="s">
        <v>22</v>
      </c>
      <c r="F66" t="s">
        <v>23</v>
      </c>
      <c r="G66" t="s">
        <v>24</v>
      </c>
      <c r="H66">
        <v>4</v>
      </c>
      <c r="I66">
        <v>199.99</v>
      </c>
      <c r="J66" t="s">
        <v>49</v>
      </c>
      <c r="K66" t="s">
        <v>137</v>
      </c>
      <c r="L66" t="s">
        <v>27</v>
      </c>
      <c r="M66" t="s">
        <v>320</v>
      </c>
      <c r="N66">
        <v>799.96</v>
      </c>
      <c r="O66" t="s">
        <v>29</v>
      </c>
      <c r="P66" t="s">
        <v>112</v>
      </c>
      <c r="Q66">
        <v>2024</v>
      </c>
      <c r="R66">
        <v>2</v>
      </c>
    </row>
    <row r="67" spans="1:18">
      <c r="A67" t="s">
        <v>321</v>
      </c>
      <c r="B67" t="s">
        <v>271</v>
      </c>
      <c r="C67" t="s">
        <v>163</v>
      </c>
      <c r="D67" t="s">
        <v>116</v>
      </c>
      <c r="E67" t="s">
        <v>35</v>
      </c>
      <c r="F67" t="s">
        <v>36</v>
      </c>
      <c r="G67" t="s">
        <v>37</v>
      </c>
      <c r="H67">
        <v>1</v>
      </c>
      <c r="I67">
        <v>899.99</v>
      </c>
      <c r="J67" t="s">
        <v>25</v>
      </c>
      <c r="K67" t="s">
        <v>79</v>
      </c>
      <c r="L67" t="s">
        <v>40</v>
      </c>
      <c r="M67" t="s">
        <v>322</v>
      </c>
      <c r="N67">
        <v>899.99</v>
      </c>
      <c r="O67" t="s">
        <v>29</v>
      </c>
      <c r="P67" t="s">
        <v>185</v>
      </c>
      <c r="Q67">
        <v>2024</v>
      </c>
      <c r="R67">
        <v>4</v>
      </c>
    </row>
    <row r="68" spans="1:18">
      <c r="A68" t="s">
        <v>323</v>
      </c>
      <c r="B68" t="s">
        <v>324</v>
      </c>
      <c r="C68" t="s">
        <v>325</v>
      </c>
      <c r="D68" t="s">
        <v>243</v>
      </c>
      <c r="E68" t="s">
        <v>93</v>
      </c>
      <c r="F68" t="s">
        <v>94</v>
      </c>
      <c r="G68" t="s">
        <v>95</v>
      </c>
      <c r="H68">
        <v>3</v>
      </c>
      <c r="I68">
        <v>59.99</v>
      </c>
      <c r="J68" t="s">
        <v>49</v>
      </c>
      <c r="K68" t="s">
        <v>50</v>
      </c>
      <c r="L68" t="s">
        <v>59</v>
      </c>
      <c r="M68" t="s">
        <v>201</v>
      </c>
      <c r="N68">
        <v>179.97</v>
      </c>
      <c r="O68" t="s">
        <v>29</v>
      </c>
      <c r="P68" t="s">
        <v>185</v>
      </c>
      <c r="Q68">
        <v>2024</v>
      </c>
      <c r="R68">
        <v>4</v>
      </c>
    </row>
    <row r="69" spans="1:18">
      <c r="A69" t="s">
        <v>326</v>
      </c>
      <c r="B69" t="s">
        <v>327</v>
      </c>
      <c r="C69" t="s">
        <v>91</v>
      </c>
      <c r="D69" t="s">
        <v>231</v>
      </c>
      <c r="E69" t="s">
        <v>22</v>
      </c>
      <c r="F69" t="s">
        <v>23</v>
      </c>
      <c r="G69" t="s">
        <v>24</v>
      </c>
      <c r="H69">
        <v>4</v>
      </c>
      <c r="I69">
        <v>199.99</v>
      </c>
      <c r="J69" t="s">
        <v>49</v>
      </c>
      <c r="K69" t="s">
        <v>39</v>
      </c>
      <c r="L69" t="s">
        <v>27</v>
      </c>
      <c r="M69" t="s">
        <v>328</v>
      </c>
      <c r="N69">
        <v>799.96</v>
      </c>
      <c r="O69" t="s">
        <v>29</v>
      </c>
      <c r="P69" t="s">
        <v>68</v>
      </c>
      <c r="Q69">
        <v>2024</v>
      </c>
      <c r="R69">
        <v>3</v>
      </c>
    </row>
    <row r="70" spans="1:18">
      <c r="A70" t="s">
        <v>329</v>
      </c>
      <c r="B70" t="s">
        <v>330</v>
      </c>
      <c r="C70" t="s">
        <v>331</v>
      </c>
      <c r="D70" t="s">
        <v>77</v>
      </c>
      <c r="E70" t="s">
        <v>150</v>
      </c>
      <c r="F70" t="s">
        <v>151</v>
      </c>
      <c r="G70" t="s">
        <v>37</v>
      </c>
      <c r="H70">
        <v>4</v>
      </c>
      <c r="I70">
        <v>249.99</v>
      </c>
      <c r="J70" t="s">
        <v>25</v>
      </c>
      <c r="K70" t="s">
        <v>50</v>
      </c>
      <c r="L70" t="s">
        <v>27</v>
      </c>
      <c r="M70" t="s">
        <v>332</v>
      </c>
      <c r="N70">
        <v>999.96</v>
      </c>
      <c r="O70" t="s">
        <v>29</v>
      </c>
      <c r="P70" t="s">
        <v>81</v>
      </c>
      <c r="Q70">
        <v>2024</v>
      </c>
      <c r="R70">
        <v>4</v>
      </c>
    </row>
    <row r="71" spans="1:18">
      <c r="A71" t="s">
        <v>333</v>
      </c>
      <c r="B71" t="s">
        <v>334</v>
      </c>
      <c r="C71" t="s">
        <v>146</v>
      </c>
      <c r="D71" t="s">
        <v>164</v>
      </c>
      <c r="E71" t="s">
        <v>126</v>
      </c>
      <c r="F71" t="s">
        <v>127</v>
      </c>
      <c r="G71" t="s">
        <v>95</v>
      </c>
      <c r="H71">
        <v>1</v>
      </c>
      <c r="I71">
        <v>79.99</v>
      </c>
      <c r="J71" t="s">
        <v>78</v>
      </c>
      <c r="K71" t="s">
        <v>39</v>
      </c>
      <c r="L71" t="s">
        <v>59</v>
      </c>
      <c r="M71" t="s">
        <v>335</v>
      </c>
      <c r="N71">
        <v>79.99</v>
      </c>
      <c r="O71" t="s">
        <v>29</v>
      </c>
      <c r="P71" t="s">
        <v>298</v>
      </c>
      <c r="Q71">
        <v>2024</v>
      </c>
      <c r="R71">
        <v>5</v>
      </c>
    </row>
    <row r="72" spans="1:18">
      <c r="A72" t="s">
        <v>336</v>
      </c>
      <c r="B72" t="s">
        <v>337</v>
      </c>
      <c r="C72" t="s">
        <v>307</v>
      </c>
      <c r="D72" t="s">
        <v>64</v>
      </c>
      <c r="E72" t="s">
        <v>85</v>
      </c>
      <c r="F72" t="s">
        <v>86</v>
      </c>
      <c r="G72" t="s">
        <v>24</v>
      </c>
      <c r="H72">
        <v>5</v>
      </c>
      <c r="I72">
        <v>149.99</v>
      </c>
      <c r="J72" t="s">
        <v>49</v>
      </c>
      <c r="K72" t="s">
        <v>79</v>
      </c>
      <c r="L72" t="s">
        <v>59</v>
      </c>
      <c r="M72" t="s">
        <v>338</v>
      </c>
      <c r="N72">
        <v>749.95</v>
      </c>
      <c r="O72" t="s">
        <v>29</v>
      </c>
      <c r="P72" t="s">
        <v>112</v>
      </c>
      <c r="Q72">
        <v>2024</v>
      </c>
      <c r="R72">
        <v>5</v>
      </c>
    </row>
    <row r="73" spans="1:18">
      <c r="A73" t="s">
        <v>339</v>
      </c>
      <c r="B73" t="s">
        <v>108</v>
      </c>
      <c r="C73" t="s">
        <v>159</v>
      </c>
      <c r="D73" t="s">
        <v>340</v>
      </c>
      <c r="E73" t="s">
        <v>35</v>
      </c>
      <c r="F73" t="s">
        <v>36</v>
      </c>
      <c r="G73" t="s">
        <v>37</v>
      </c>
      <c r="H73">
        <v>4</v>
      </c>
      <c r="I73">
        <v>899.99</v>
      </c>
      <c r="J73" t="s">
        <v>25</v>
      </c>
      <c r="K73" t="s">
        <v>79</v>
      </c>
      <c r="L73" t="s">
        <v>59</v>
      </c>
      <c r="M73" t="s">
        <v>341</v>
      </c>
      <c r="N73">
        <v>3599.96</v>
      </c>
      <c r="O73" t="s">
        <v>29</v>
      </c>
      <c r="P73" t="s">
        <v>112</v>
      </c>
      <c r="Q73">
        <v>2024</v>
      </c>
      <c r="R73">
        <v>2</v>
      </c>
    </row>
    <row r="74" spans="1:18">
      <c r="A74" t="s">
        <v>342</v>
      </c>
      <c r="B74" t="s">
        <v>343</v>
      </c>
      <c r="C74" t="s">
        <v>55</v>
      </c>
      <c r="D74" t="s">
        <v>296</v>
      </c>
      <c r="E74" t="s">
        <v>47</v>
      </c>
      <c r="F74" t="s">
        <v>48</v>
      </c>
      <c r="G74" t="s">
        <v>37</v>
      </c>
      <c r="H74">
        <v>3</v>
      </c>
      <c r="I74">
        <v>699.99</v>
      </c>
      <c r="J74" t="s">
        <v>38</v>
      </c>
      <c r="K74" t="s">
        <v>79</v>
      </c>
      <c r="L74" t="s">
        <v>59</v>
      </c>
      <c r="M74" t="s">
        <v>344</v>
      </c>
      <c r="N74">
        <v>2099.97</v>
      </c>
      <c r="O74" t="s">
        <v>29</v>
      </c>
      <c r="P74" t="s">
        <v>185</v>
      </c>
      <c r="Q74">
        <v>2024</v>
      </c>
      <c r="R74">
        <v>4</v>
      </c>
    </row>
    <row r="75" spans="1:18">
      <c r="A75" t="s">
        <v>345</v>
      </c>
      <c r="B75" t="s">
        <v>346</v>
      </c>
      <c r="C75" t="s">
        <v>268</v>
      </c>
      <c r="D75" t="s">
        <v>164</v>
      </c>
      <c r="E75" t="s">
        <v>47</v>
      </c>
      <c r="F75" t="s">
        <v>48</v>
      </c>
      <c r="G75" t="s">
        <v>37</v>
      </c>
      <c r="H75">
        <v>4</v>
      </c>
      <c r="I75">
        <v>699.99</v>
      </c>
      <c r="J75" t="s">
        <v>49</v>
      </c>
      <c r="K75" t="s">
        <v>39</v>
      </c>
      <c r="L75" t="s">
        <v>27</v>
      </c>
      <c r="M75" t="s">
        <v>347</v>
      </c>
      <c r="N75">
        <v>2799.96</v>
      </c>
      <c r="O75" t="s">
        <v>29</v>
      </c>
      <c r="P75" t="s">
        <v>88</v>
      </c>
      <c r="Q75">
        <v>2024</v>
      </c>
      <c r="R75">
        <v>5</v>
      </c>
    </row>
    <row r="76" spans="1:18">
      <c r="A76" t="s">
        <v>348</v>
      </c>
      <c r="B76" t="s">
        <v>349</v>
      </c>
      <c r="C76" t="s">
        <v>268</v>
      </c>
      <c r="D76" t="s">
        <v>217</v>
      </c>
      <c r="E76" t="s">
        <v>65</v>
      </c>
      <c r="F76" t="s">
        <v>66</v>
      </c>
      <c r="G76" t="s">
        <v>37</v>
      </c>
      <c r="H76">
        <v>3</v>
      </c>
      <c r="I76">
        <v>149.99</v>
      </c>
      <c r="J76" t="s">
        <v>49</v>
      </c>
      <c r="K76" t="s">
        <v>39</v>
      </c>
      <c r="L76" t="s">
        <v>59</v>
      </c>
      <c r="M76" t="s">
        <v>350</v>
      </c>
      <c r="N76">
        <v>449.97</v>
      </c>
      <c r="O76" t="s">
        <v>29</v>
      </c>
      <c r="P76" t="s">
        <v>185</v>
      </c>
      <c r="Q76">
        <v>2024</v>
      </c>
      <c r="R76">
        <v>3</v>
      </c>
    </row>
    <row r="77" spans="1:18">
      <c r="A77" t="s">
        <v>351</v>
      </c>
      <c r="B77" t="s">
        <v>352</v>
      </c>
      <c r="C77" t="s">
        <v>353</v>
      </c>
      <c r="D77" t="s">
        <v>197</v>
      </c>
      <c r="E77" t="s">
        <v>35</v>
      </c>
      <c r="F77" t="s">
        <v>36</v>
      </c>
      <c r="G77" t="s">
        <v>37</v>
      </c>
      <c r="H77">
        <v>4</v>
      </c>
      <c r="I77">
        <v>899.99</v>
      </c>
      <c r="J77" t="s">
        <v>38</v>
      </c>
      <c r="K77" t="s">
        <v>26</v>
      </c>
      <c r="L77" t="s">
        <v>27</v>
      </c>
      <c r="M77" t="s">
        <v>354</v>
      </c>
      <c r="N77">
        <v>3599.96</v>
      </c>
      <c r="O77" t="s">
        <v>29</v>
      </c>
      <c r="P77" t="s">
        <v>185</v>
      </c>
      <c r="Q77">
        <v>2024</v>
      </c>
      <c r="R77">
        <v>4</v>
      </c>
    </row>
    <row r="78" spans="1:18">
      <c r="A78" t="s">
        <v>355</v>
      </c>
      <c r="B78" t="s">
        <v>356</v>
      </c>
      <c r="C78" t="s">
        <v>221</v>
      </c>
      <c r="D78" t="s">
        <v>77</v>
      </c>
      <c r="E78" t="s">
        <v>150</v>
      </c>
      <c r="F78" t="s">
        <v>151</v>
      </c>
      <c r="G78" t="s">
        <v>37</v>
      </c>
      <c r="H78">
        <v>3</v>
      </c>
      <c r="I78">
        <v>249.99</v>
      </c>
      <c r="J78" t="s">
        <v>25</v>
      </c>
      <c r="K78" t="s">
        <v>50</v>
      </c>
      <c r="L78" t="s">
        <v>40</v>
      </c>
      <c r="M78" t="s">
        <v>357</v>
      </c>
      <c r="N78">
        <v>749.97</v>
      </c>
      <c r="O78" t="s">
        <v>29</v>
      </c>
      <c r="P78" t="s">
        <v>81</v>
      </c>
      <c r="Q78">
        <v>2024</v>
      </c>
      <c r="R78">
        <v>2</v>
      </c>
    </row>
    <row r="79" spans="1:18">
      <c r="A79" t="s">
        <v>358</v>
      </c>
      <c r="B79" t="s">
        <v>359</v>
      </c>
      <c r="C79" t="s">
        <v>141</v>
      </c>
      <c r="D79" t="s">
        <v>92</v>
      </c>
      <c r="E79" t="s">
        <v>93</v>
      </c>
      <c r="F79" t="s">
        <v>94</v>
      </c>
      <c r="G79" t="s">
        <v>95</v>
      </c>
      <c r="H79">
        <v>1</v>
      </c>
      <c r="I79">
        <v>59.99</v>
      </c>
      <c r="J79" t="s">
        <v>25</v>
      </c>
      <c r="K79" t="s">
        <v>50</v>
      </c>
      <c r="L79" t="s">
        <v>59</v>
      </c>
      <c r="M79" t="s">
        <v>360</v>
      </c>
      <c r="N79">
        <v>59.99</v>
      </c>
      <c r="O79" t="s">
        <v>29</v>
      </c>
      <c r="P79" t="s">
        <v>81</v>
      </c>
      <c r="Q79">
        <v>2024</v>
      </c>
      <c r="R79">
        <v>5</v>
      </c>
    </row>
    <row r="80" spans="1:18">
      <c r="A80" t="s">
        <v>361</v>
      </c>
      <c r="B80" t="s">
        <v>362</v>
      </c>
      <c r="C80" t="s">
        <v>20</v>
      </c>
      <c r="D80" t="s">
        <v>217</v>
      </c>
      <c r="E80" t="s">
        <v>93</v>
      </c>
      <c r="F80" t="s">
        <v>94</v>
      </c>
      <c r="G80" t="s">
        <v>95</v>
      </c>
      <c r="H80">
        <v>4</v>
      </c>
      <c r="I80">
        <v>59.99</v>
      </c>
      <c r="J80" t="s">
        <v>25</v>
      </c>
      <c r="K80" t="s">
        <v>137</v>
      </c>
      <c r="L80" t="s">
        <v>27</v>
      </c>
      <c r="M80" t="s">
        <v>363</v>
      </c>
      <c r="N80">
        <v>239.96</v>
      </c>
      <c r="O80" t="s">
        <v>29</v>
      </c>
      <c r="P80" t="s">
        <v>42</v>
      </c>
      <c r="Q80">
        <v>2024</v>
      </c>
      <c r="R80">
        <v>4</v>
      </c>
    </row>
    <row r="81" spans="1:18">
      <c r="A81" t="s">
        <v>364</v>
      </c>
      <c r="B81" t="s">
        <v>365</v>
      </c>
      <c r="C81" t="s">
        <v>242</v>
      </c>
      <c r="D81" t="s">
        <v>21</v>
      </c>
      <c r="E81" t="s">
        <v>150</v>
      </c>
      <c r="F81" t="s">
        <v>151</v>
      </c>
      <c r="G81" t="s">
        <v>37</v>
      </c>
      <c r="H81">
        <v>3</v>
      </c>
      <c r="I81">
        <v>249.99</v>
      </c>
      <c r="J81" t="s">
        <v>78</v>
      </c>
      <c r="K81" t="s">
        <v>39</v>
      </c>
      <c r="L81" t="s">
        <v>27</v>
      </c>
      <c r="M81" t="s">
        <v>366</v>
      </c>
      <c r="N81">
        <v>749.97</v>
      </c>
      <c r="O81" t="s">
        <v>29</v>
      </c>
      <c r="P81" t="s">
        <v>30</v>
      </c>
      <c r="Q81">
        <v>2024</v>
      </c>
      <c r="R81">
        <v>4</v>
      </c>
    </row>
    <row r="82" spans="1:18">
      <c r="A82" t="s">
        <v>367</v>
      </c>
      <c r="B82" t="s">
        <v>75</v>
      </c>
      <c r="C82" t="s">
        <v>149</v>
      </c>
      <c r="D82" t="s">
        <v>142</v>
      </c>
      <c r="E82" t="s">
        <v>22</v>
      </c>
      <c r="F82" t="s">
        <v>23</v>
      </c>
      <c r="G82" t="s">
        <v>24</v>
      </c>
      <c r="H82">
        <v>2</v>
      </c>
      <c r="I82">
        <v>199.99</v>
      </c>
      <c r="J82" t="s">
        <v>49</v>
      </c>
      <c r="K82" t="s">
        <v>39</v>
      </c>
      <c r="L82" t="s">
        <v>59</v>
      </c>
      <c r="M82" t="s">
        <v>368</v>
      </c>
      <c r="N82">
        <v>399.98</v>
      </c>
      <c r="O82" t="s">
        <v>29</v>
      </c>
      <c r="P82" t="s">
        <v>81</v>
      </c>
      <c r="Q82">
        <v>2024</v>
      </c>
      <c r="R82">
        <v>2</v>
      </c>
    </row>
    <row r="83" spans="1:18">
      <c r="A83" t="s">
        <v>369</v>
      </c>
      <c r="B83" t="s">
        <v>370</v>
      </c>
      <c r="C83" t="s">
        <v>371</v>
      </c>
      <c r="D83" t="s">
        <v>179</v>
      </c>
      <c r="E83" t="s">
        <v>85</v>
      </c>
      <c r="F83" t="s">
        <v>86</v>
      </c>
      <c r="G83" t="s">
        <v>24</v>
      </c>
      <c r="H83">
        <v>4</v>
      </c>
      <c r="I83">
        <v>149.99</v>
      </c>
      <c r="J83" t="s">
        <v>38</v>
      </c>
      <c r="K83" t="s">
        <v>26</v>
      </c>
      <c r="L83" t="s">
        <v>40</v>
      </c>
      <c r="M83" t="s">
        <v>372</v>
      </c>
      <c r="N83">
        <v>599.96</v>
      </c>
      <c r="O83" t="s">
        <v>29</v>
      </c>
      <c r="P83" t="s">
        <v>88</v>
      </c>
      <c r="Q83">
        <v>2024</v>
      </c>
      <c r="R83">
        <v>4</v>
      </c>
    </row>
    <row r="84" spans="1:18">
      <c r="A84" t="s">
        <v>373</v>
      </c>
      <c r="B84" t="s">
        <v>241</v>
      </c>
      <c r="C84" t="s">
        <v>149</v>
      </c>
      <c r="D84" t="s">
        <v>46</v>
      </c>
      <c r="E84" t="s">
        <v>22</v>
      </c>
      <c r="F84" t="s">
        <v>23</v>
      </c>
      <c r="G84" t="s">
        <v>24</v>
      </c>
      <c r="H84">
        <v>1</v>
      </c>
      <c r="I84">
        <v>199.99</v>
      </c>
      <c r="J84" t="s">
        <v>49</v>
      </c>
      <c r="K84" t="s">
        <v>39</v>
      </c>
      <c r="L84" t="s">
        <v>27</v>
      </c>
      <c r="M84" t="s">
        <v>374</v>
      </c>
      <c r="N84">
        <v>199.99</v>
      </c>
      <c r="O84" t="s">
        <v>29</v>
      </c>
      <c r="P84" t="s">
        <v>88</v>
      </c>
      <c r="Q84">
        <v>2024</v>
      </c>
      <c r="R84">
        <v>3</v>
      </c>
    </row>
    <row r="85" spans="1:18">
      <c r="A85" t="s">
        <v>375</v>
      </c>
      <c r="B85" t="s">
        <v>70</v>
      </c>
      <c r="C85" t="s">
        <v>149</v>
      </c>
      <c r="D85" t="s">
        <v>116</v>
      </c>
      <c r="E85" t="s">
        <v>93</v>
      </c>
      <c r="F85" t="s">
        <v>94</v>
      </c>
      <c r="G85" t="s">
        <v>95</v>
      </c>
      <c r="H85">
        <v>3</v>
      </c>
      <c r="I85">
        <v>59.99</v>
      </c>
      <c r="J85" t="s">
        <v>25</v>
      </c>
      <c r="K85" t="s">
        <v>26</v>
      </c>
      <c r="L85" t="s">
        <v>59</v>
      </c>
      <c r="M85" t="s">
        <v>376</v>
      </c>
      <c r="N85">
        <v>179.97</v>
      </c>
      <c r="O85" t="s">
        <v>29</v>
      </c>
      <c r="P85" t="s">
        <v>30</v>
      </c>
      <c r="Q85">
        <v>2024</v>
      </c>
      <c r="R85">
        <v>5</v>
      </c>
    </row>
    <row r="86" spans="1:18">
      <c r="A86" t="s">
        <v>377</v>
      </c>
      <c r="B86" t="s">
        <v>378</v>
      </c>
      <c r="C86" t="s">
        <v>288</v>
      </c>
      <c r="D86" t="s">
        <v>21</v>
      </c>
      <c r="E86" t="s">
        <v>93</v>
      </c>
      <c r="F86" t="s">
        <v>94</v>
      </c>
      <c r="G86" t="s">
        <v>95</v>
      </c>
      <c r="H86">
        <v>1</v>
      </c>
      <c r="I86">
        <v>59.99</v>
      </c>
      <c r="J86" t="s">
        <v>78</v>
      </c>
      <c r="K86" t="s">
        <v>137</v>
      </c>
      <c r="L86" t="s">
        <v>40</v>
      </c>
      <c r="M86" t="s">
        <v>379</v>
      </c>
      <c r="N86">
        <v>59.99</v>
      </c>
      <c r="O86" t="s">
        <v>29</v>
      </c>
      <c r="P86" t="s">
        <v>88</v>
      </c>
      <c r="Q86">
        <v>2024</v>
      </c>
      <c r="R86">
        <v>4</v>
      </c>
    </row>
    <row r="87" spans="1:18">
      <c r="A87" t="s">
        <v>380</v>
      </c>
      <c r="B87" t="s">
        <v>381</v>
      </c>
      <c r="C87" t="s">
        <v>213</v>
      </c>
      <c r="D87" t="s">
        <v>77</v>
      </c>
      <c r="E87" t="s">
        <v>93</v>
      </c>
      <c r="F87" t="s">
        <v>94</v>
      </c>
      <c r="G87" t="s">
        <v>95</v>
      </c>
      <c r="H87">
        <v>4</v>
      </c>
      <c r="I87">
        <v>59.99</v>
      </c>
      <c r="J87" t="s">
        <v>78</v>
      </c>
      <c r="K87" t="s">
        <v>79</v>
      </c>
      <c r="L87" t="s">
        <v>40</v>
      </c>
      <c r="M87" t="s">
        <v>382</v>
      </c>
      <c r="N87">
        <v>239.96</v>
      </c>
      <c r="O87" t="s">
        <v>29</v>
      </c>
      <c r="P87" t="s">
        <v>81</v>
      </c>
      <c r="Q87">
        <v>2024</v>
      </c>
      <c r="R87">
        <v>3</v>
      </c>
    </row>
    <row r="88" spans="1:18">
      <c r="A88" t="s">
        <v>383</v>
      </c>
      <c r="B88" t="s">
        <v>384</v>
      </c>
      <c r="C88" t="s">
        <v>91</v>
      </c>
      <c r="D88" t="s">
        <v>340</v>
      </c>
      <c r="E88" t="s">
        <v>135</v>
      </c>
      <c r="F88" t="s">
        <v>136</v>
      </c>
      <c r="G88" t="s">
        <v>24</v>
      </c>
      <c r="H88">
        <v>5</v>
      </c>
      <c r="I88">
        <v>299.99</v>
      </c>
      <c r="J88" t="s">
        <v>25</v>
      </c>
      <c r="K88" t="s">
        <v>79</v>
      </c>
      <c r="L88" t="s">
        <v>59</v>
      </c>
      <c r="M88" t="s">
        <v>385</v>
      </c>
      <c r="N88">
        <v>1499.95</v>
      </c>
      <c r="O88" t="s">
        <v>29</v>
      </c>
      <c r="P88" t="s">
        <v>106</v>
      </c>
      <c r="Q88">
        <v>2025</v>
      </c>
      <c r="R88">
        <v>4</v>
      </c>
    </row>
    <row r="89" spans="1:18">
      <c r="A89" t="s">
        <v>386</v>
      </c>
      <c r="B89" t="s">
        <v>387</v>
      </c>
      <c r="C89" t="s">
        <v>288</v>
      </c>
      <c r="D89" t="s">
        <v>277</v>
      </c>
      <c r="E89" t="s">
        <v>57</v>
      </c>
      <c r="F89" t="s">
        <v>58</v>
      </c>
      <c r="G89" t="s">
        <v>37</v>
      </c>
      <c r="H89">
        <v>2</v>
      </c>
      <c r="I89">
        <v>89.99</v>
      </c>
      <c r="J89" t="s">
        <v>49</v>
      </c>
      <c r="K89" t="s">
        <v>137</v>
      </c>
      <c r="L89" t="s">
        <v>59</v>
      </c>
      <c r="M89" t="s">
        <v>388</v>
      </c>
      <c r="N89">
        <v>179.98</v>
      </c>
      <c r="O89" t="s">
        <v>29</v>
      </c>
      <c r="P89" t="s">
        <v>88</v>
      </c>
      <c r="Q89">
        <v>2024</v>
      </c>
      <c r="R89">
        <v>2</v>
      </c>
    </row>
    <row r="90" spans="1:18">
      <c r="A90" t="s">
        <v>389</v>
      </c>
      <c r="B90" t="s">
        <v>390</v>
      </c>
      <c r="C90" t="s">
        <v>283</v>
      </c>
      <c r="D90" t="s">
        <v>296</v>
      </c>
      <c r="E90" t="s">
        <v>135</v>
      </c>
      <c r="F90" t="s">
        <v>136</v>
      </c>
      <c r="G90" t="s">
        <v>24</v>
      </c>
      <c r="H90">
        <v>3</v>
      </c>
      <c r="I90">
        <v>299.99</v>
      </c>
      <c r="J90" t="s">
        <v>78</v>
      </c>
      <c r="K90" t="s">
        <v>79</v>
      </c>
      <c r="L90" t="s">
        <v>27</v>
      </c>
      <c r="M90" t="s">
        <v>391</v>
      </c>
      <c r="N90">
        <v>899.97</v>
      </c>
      <c r="O90" t="s">
        <v>29</v>
      </c>
      <c r="P90" t="s">
        <v>88</v>
      </c>
      <c r="Q90">
        <v>2024</v>
      </c>
      <c r="R90">
        <v>3</v>
      </c>
    </row>
    <row r="91" spans="1:18">
      <c r="A91" t="s">
        <v>392</v>
      </c>
      <c r="B91" t="s">
        <v>393</v>
      </c>
      <c r="C91" t="s">
        <v>200</v>
      </c>
      <c r="D91" t="s">
        <v>116</v>
      </c>
      <c r="E91" t="s">
        <v>126</v>
      </c>
      <c r="F91" t="s">
        <v>127</v>
      </c>
      <c r="G91" t="s">
        <v>95</v>
      </c>
      <c r="H91">
        <v>3</v>
      </c>
      <c r="I91">
        <v>79.99</v>
      </c>
      <c r="J91" t="s">
        <v>25</v>
      </c>
      <c r="K91" t="s">
        <v>137</v>
      </c>
      <c r="L91" t="s">
        <v>27</v>
      </c>
      <c r="M91" t="s">
        <v>394</v>
      </c>
      <c r="N91">
        <v>239.97</v>
      </c>
      <c r="O91" t="s">
        <v>29</v>
      </c>
      <c r="P91" t="s">
        <v>81</v>
      </c>
      <c r="Q91">
        <v>2024</v>
      </c>
      <c r="R91">
        <v>2</v>
      </c>
    </row>
    <row r="92" spans="1:18">
      <c r="A92" t="s">
        <v>395</v>
      </c>
      <c r="B92" t="s">
        <v>154</v>
      </c>
      <c r="C92" t="s">
        <v>120</v>
      </c>
      <c r="D92" t="s">
        <v>64</v>
      </c>
      <c r="E92" t="s">
        <v>65</v>
      </c>
      <c r="F92" t="s">
        <v>66</v>
      </c>
      <c r="G92" t="s">
        <v>37</v>
      </c>
      <c r="H92">
        <v>1</v>
      </c>
      <c r="I92">
        <v>149.99</v>
      </c>
      <c r="J92" t="s">
        <v>49</v>
      </c>
      <c r="K92" t="s">
        <v>79</v>
      </c>
      <c r="L92" t="s">
        <v>59</v>
      </c>
      <c r="M92" t="s">
        <v>396</v>
      </c>
      <c r="N92">
        <v>149.99</v>
      </c>
      <c r="O92" t="s">
        <v>29</v>
      </c>
      <c r="P92" t="s">
        <v>42</v>
      </c>
      <c r="Q92">
        <v>2024</v>
      </c>
      <c r="R92">
        <v>2</v>
      </c>
    </row>
    <row r="93" spans="1:18">
      <c r="A93" t="s">
        <v>397</v>
      </c>
      <c r="B93" t="s">
        <v>212</v>
      </c>
      <c r="C93" t="s">
        <v>213</v>
      </c>
      <c r="D93" t="s">
        <v>257</v>
      </c>
      <c r="E93" t="s">
        <v>85</v>
      </c>
      <c r="F93" t="s">
        <v>86</v>
      </c>
      <c r="G93" t="s">
        <v>24</v>
      </c>
      <c r="H93">
        <v>4</v>
      </c>
      <c r="I93">
        <v>149.99</v>
      </c>
      <c r="J93" t="s">
        <v>25</v>
      </c>
      <c r="K93" t="s">
        <v>137</v>
      </c>
      <c r="L93" t="s">
        <v>59</v>
      </c>
      <c r="M93" t="s">
        <v>398</v>
      </c>
      <c r="N93">
        <v>599.96</v>
      </c>
      <c r="O93" t="s">
        <v>29</v>
      </c>
      <c r="P93" t="s">
        <v>68</v>
      </c>
      <c r="Q93">
        <v>2024</v>
      </c>
      <c r="R93">
        <v>2</v>
      </c>
    </row>
    <row r="94" spans="1:18">
      <c r="A94" t="s">
        <v>399</v>
      </c>
      <c r="B94" t="s">
        <v>400</v>
      </c>
      <c r="C94" t="s">
        <v>401</v>
      </c>
      <c r="D94" t="s">
        <v>172</v>
      </c>
      <c r="E94" t="s">
        <v>150</v>
      </c>
      <c r="F94" t="s">
        <v>151</v>
      </c>
      <c r="G94" t="s">
        <v>37</v>
      </c>
      <c r="H94">
        <v>1</v>
      </c>
      <c r="I94">
        <v>249.99</v>
      </c>
      <c r="J94" t="s">
        <v>49</v>
      </c>
      <c r="K94" t="s">
        <v>39</v>
      </c>
      <c r="L94" t="s">
        <v>27</v>
      </c>
      <c r="M94" t="s">
        <v>402</v>
      </c>
      <c r="N94">
        <v>249.99</v>
      </c>
      <c r="O94" t="s">
        <v>29</v>
      </c>
      <c r="P94" t="s">
        <v>88</v>
      </c>
      <c r="Q94">
        <v>2024</v>
      </c>
      <c r="R94">
        <v>4</v>
      </c>
    </row>
    <row r="95" spans="1:18">
      <c r="A95" t="s">
        <v>403</v>
      </c>
      <c r="B95" t="s">
        <v>404</v>
      </c>
      <c r="C95" t="s">
        <v>405</v>
      </c>
      <c r="D95" t="s">
        <v>116</v>
      </c>
      <c r="E95" t="s">
        <v>135</v>
      </c>
      <c r="F95" t="s">
        <v>136</v>
      </c>
      <c r="G95" t="s">
        <v>24</v>
      </c>
      <c r="H95">
        <v>4</v>
      </c>
      <c r="I95">
        <v>299.99</v>
      </c>
      <c r="J95" t="s">
        <v>78</v>
      </c>
      <c r="K95" t="s">
        <v>26</v>
      </c>
      <c r="L95" t="s">
        <v>40</v>
      </c>
      <c r="M95" t="s">
        <v>406</v>
      </c>
      <c r="N95">
        <v>1199.96</v>
      </c>
      <c r="O95" t="s">
        <v>29</v>
      </c>
      <c r="P95" t="s">
        <v>52</v>
      </c>
      <c r="Q95">
        <v>2024</v>
      </c>
      <c r="R95">
        <v>2</v>
      </c>
    </row>
    <row r="96" spans="1:18">
      <c r="A96" t="s">
        <v>407</v>
      </c>
      <c r="B96" t="s">
        <v>408</v>
      </c>
      <c r="C96" t="s">
        <v>146</v>
      </c>
      <c r="D96" t="s">
        <v>222</v>
      </c>
      <c r="E96" t="s">
        <v>85</v>
      </c>
      <c r="F96" t="s">
        <v>86</v>
      </c>
      <c r="G96" t="s">
        <v>24</v>
      </c>
      <c r="H96">
        <v>3</v>
      </c>
      <c r="I96">
        <v>149.99</v>
      </c>
      <c r="J96" t="s">
        <v>49</v>
      </c>
      <c r="K96" t="s">
        <v>39</v>
      </c>
      <c r="L96" t="s">
        <v>59</v>
      </c>
      <c r="M96" t="s">
        <v>409</v>
      </c>
      <c r="N96">
        <v>449.97</v>
      </c>
      <c r="O96" t="s">
        <v>29</v>
      </c>
      <c r="P96" t="s">
        <v>106</v>
      </c>
      <c r="Q96">
        <v>2025</v>
      </c>
      <c r="R96">
        <v>3</v>
      </c>
    </row>
    <row r="97" spans="1:18">
      <c r="A97" t="s">
        <v>410</v>
      </c>
      <c r="B97" t="s">
        <v>411</v>
      </c>
      <c r="C97" t="s">
        <v>76</v>
      </c>
      <c r="D97" t="s">
        <v>253</v>
      </c>
      <c r="E97" t="s">
        <v>126</v>
      </c>
      <c r="F97" t="s">
        <v>127</v>
      </c>
      <c r="G97" t="s">
        <v>95</v>
      </c>
      <c r="H97">
        <v>4</v>
      </c>
      <c r="I97">
        <v>79.99</v>
      </c>
      <c r="J97" t="s">
        <v>25</v>
      </c>
      <c r="K97" t="s">
        <v>137</v>
      </c>
      <c r="L97" t="s">
        <v>40</v>
      </c>
      <c r="M97" t="s">
        <v>412</v>
      </c>
      <c r="N97">
        <v>319.96</v>
      </c>
      <c r="O97" t="s">
        <v>29</v>
      </c>
      <c r="P97" t="s">
        <v>52</v>
      </c>
      <c r="Q97">
        <v>2024</v>
      </c>
      <c r="R97">
        <v>2</v>
      </c>
    </row>
    <row r="98" spans="1:18">
      <c r="A98" t="s">
        <v>413</v>
      </c>
      <c r="B98" t="s">
        <v>414</v>
      </c>
      <c r="C98" t="s">
        <v>415</v>
      </c>
      <c r="D98" t="s">
        <v>340</v>
      </c>
      <c r="E98" t="s">
        <v>135</v>
      </c>
      <c r="F98" t="s">
        <v>136</v>
      </c>
      <c r="G98" t="s">
        <v>24</v>
      </c>
      <c r="H98">
        <v>4</v>
      </c>
      <c r="I98">
        <v>299.99</v>
      </c>
      <c r="J98" t="s">
        <v>38</v>
      </c>
      <c r="K98" t="s">
        <v>50</v>
      </c>
      <c r="L98" t="s">
        <v>59</v>
      </c>
      <c r="M98" t="s">
        <v>416</v>
      </c>
      <c r="N98">
        <v>1199.96</v>
      </c>
      <c r="O98" t="s">
        <v>29</v>
      </c>
      <c r="P98" t="s">
        <v>122</v>
      </c>
      <c r="Q98">
        <v>2025</v>
      </c>
      <c r="R98">
        <v>2</v>
      </c>
    </row>
    <row r="99" spans="1:18">
      <c r="A99" t="s">
        <v>417</v>
      </c>
      <c r="B99" t="s">
        <v>418</v>
      </c>
      <c r="C99" t="s">
        <v>163</v>
      </c>
      <c r="D99" t="s">
        <v>134</v>
      </c>
      <c r="E99" t="s">
        <v>85</v>
      </c>
      <c r="F99" t="s">
        <v>86</v>
      </c>
      <c r="G99" t="s">
        <v>24</v>
      </c>
      <c r="H99">
        <v>2</v>
      </c>
      <c r="I99">
        <v>149.99</v>
      </c>
      <c r="J99" t="s">
        <v>25</v>
      </c>
      <c r="K99" t="s">
        <v>79</v>
      </c>
      <c r="L99" t="s">
        <v>40</v>
      </c>
      <c r="M99" t="s">
        <v>419</v>
      </c>
      <c r="N99">
        <v>299.98</v>
      </c>
      <c r="O99" t="s">
        <v>29</v>
      </c>
      <c r="P99" t="s">
        <v>68</v>
      </c>
      <c r="Q99">
        <v>2024</v>
      </c>
      <c r="R99">
        <v>4</v>
      </c>
    </row>
    <row r="100" spans="1:18">
      <c r="A100" t="s">
        <v>420</v>
      </c>
      <c r="B100" t="s">
        <v>421</v>
      </c>
      <c r="C100" t="s">
        <v>55</v>
      </c>
      <c r="D100" t="s">
        <v>217</v>
      </c>
      <c r="E100" t="s">
        <v>150</v>
      </c>
      <c r="F100" t="s">
        <v>151</v>
      </c>
      <c r="G100" t="s">
        <v>37</v>
      </c>
      <c r="H100">
        <v>1</v>
      </c>
      <c r="I100">
        <v>249.99</v>
      </c>
      <c r="J100" t="s">
        <v>25</v>
      </c>
      <c r="K100" t="s">
        <v>26</v>
      </c>
      <c r="L100" t="s">
        <v>40</v>
      </c>
      <c r="M100" t="s">
        <v>422</v>
      </c>
      <c r="N100">
        <v>249.99</v>
      </c>
      <c r="O100" t="s">
        <v>29</v>
      </c>
      <c r="P100" t="s">
        <v>298</v>
      </c>
      <c r="Q100">
        <v>2024</v>
      </c>
      <c r="R100">
        <v>4</v>
      </c>
    </row>
    <row r="101" spans="1:18">
      <c r="A101" t="s">
        <v>423</v>
      </c>
      <c r="B101" t="s">
        <v>424</v>
      </c>
      <c r="C101" t="s">
        <v>425</v>
      </c>
      <c r="D101" t="s">
        <v>340</v>
      </c>
      <c r="E101" t="s">
        <v>93</v>
      </c>
      <c r="F101" t="s">
        <v>94</v>
      </c>
      <c r="G101" t="s">
        <v>95</v>
      </c>
      <c r="H101">
        <v>5</v>
      </c>
      <c r="I101">
        <v>59.99</v>
      </c>
      <c r="J101" t="s">
        <v>78</v>
      </c>
      <c r="K101" t="s">
        <v>50</v>
      </c>
      <c r="L101" t="s">
        <v>27</v>
      </c>
      <c r="M101" t="s">
        <v>426</v>
      </c>
      <c r="N101">
        <v>299.95</v>
      </c>
      <c r="O101" t="s">
        <v>29</v>
      </c>
      <c r="P101" t="s">
        <v>52</v>
      </c>
      <c r="Q101">
        <v>2024</v>
      </c>
      <c r="R101">
        <v>4</v>
      </c>
    </row>
    <row r="102" spans="1:18">
      <c r="A102" t="s">
        <v>427</v>
      </c>
      <c r="B102" t="s">
        <v>428</v>
      </c>
      <c r="C102" t="s">
        <v>242</v>
      </c>
      <c r="D102" t="s">
        <v>142</v>
      </c>
      <c r="E102" t="s">
        <v>126</v>
      </c>
      <c r="F102" t="s">
        <v>127</v>
      </c>
      <c r="G102" t="s">
        <v>95</v>
      </c>
      <c r="H102">
        <v>4</v>
      </c>
      <c r="I102">
        <v>79.99</v>
      </c>
      <c r="J102" t="s">
        <v>25</v>
      </c>
      <c r="K102" t="s">
        <v>50</v>
      </c>
      <c r="L102" t="s">
        <v>59</v>
      </c>
      <c r="M102" t="s">
        <v>429</v>
      </c>
      <c r="N102">
        <v>319.96</v>
      </c>
      <c r="O102" t="s">
        <v>29</v>
      </c>
      <c r="P102" t="s">
        <v>185</v>
      </c>
      <c r="Q102">
        <v>2024</v>
      </c>
      <c r="R102">
        <v>4</v>
      </c>
    </row>
    <row r="103" spans="1:18">
      <c r="A103" t="s">
        <v>430</v>
      </c>
      <c r="B103" t="s">
        <v>431</v>
      </c>
      <c r="C103" t="s">
        <v>230</v>
      </c>
      <c r="D103" t="s">
        <v>243</v>
      </c>
      <c r="E103" t="s">
        <v>85</v>
      </c>
      <c r="F103" t="s">
        <v>86</v>
      </c>
      <c r="G103" t="s">
        <v>24</v>
      </c>
      <c r="H103">
        <v>3</v>
      </c>
      <c r="I103">
        <v>149.99</v>
      </c>
      <c r="J103" t="s">
        <v>49</v>
      </c>
      <c r="K103" t="s">
        <v>50</v>
      </c>
      <c r="L103" t="s">
        <v>40</v>
      </c>
      <c r="M103" t="s">
        <v>432</v>
      </c>
      <c r="N103">
        <v>449.97</v>
      </c>
      <c r="O103" t="s">
        <v>29</v>
      </c>
      <c r="P103" t="s">
        <v>88</v>
      </c>
      <c r="Q103">
        <v>2024</v>
      </c>
      <c r="R103">
        <v>4</v>
      </c>
    </row>
    <row r="104" spans="1:18">
      <c r="A104" t="s">
        <v>433</v>
      </c>
      <c r="B104" t="s">
        <v>434</v>
      </c>
      <c r="C104" t="s">
        <v>188</v>
      </c>
      <c r="D104" t="s">
        <v>197</v>
      </c>
      <c r="E104" t="s">
        <v>35</v>
      </c>
      <c r="F104" t="s">
        <v>36</v>
      </c>
      <c r="G104" t="s">
        <v>37</v>
      </c>
      <c r="H104">
        <v>4</v>
      </c>
      <c r="I104">
        <v>899.99</v>
      </c>
      <c r="J104" t="s">
        <v>38</v>
      </c>
      <c r="K104" t="s">
        <v>79</v>
      </c>
      <c r="L104" t="s">
        <v>40</v>
      </c>
      <c r="M104" t="s">
        <v>435</v>
      </c>
      <c r="N104">
        <v>3599.96</v>
      </c>
      <c r="O104" t="s">
        <v>29</v>
      </c>
      <c r="P104" t="s">
        <v>88</v>
      </c>
      <c r="Q104">
        <v>2024</v>
      </c>
      <c r="R104">
        <v>5</v>
      </c>
    </row>
    <row r="105" spans="1:18">
      <c r="A105" t="s">
        <v>436</v>
      </c>
      <c r="B105" t="s">
        <v>44</v>
      </c>
      <c r="C105" t="s">
        <v>55</v>
      </c>
      <c r="D105" t="s">
        <v>110</v>
      </c>
      <c r="E105" t="s">
        <v>93</v>
      </c>
      <c r="F105" t="s">
        <v>94</v>
      </c>
      <c r="G105" t="s">
        <v>95</v>
      </c>
      <c r="H105">
        <v>2</v>
      </c>
      <c r="I105">
        <v>59.99</v>
      </c>
      <c r="J105" t="s">
        <v>25</v>
      </c>
      <c r="K105" t="s">
        <v>26</v>
      </c>
      <c r="L105" t="s">
        <v>27</v>
      </c>
      <c r="M105" t="s">
        <v>437</v>
      </c>
      <c r="N105">
        <v>119.98</v>
      </c>
      <c r="O105" t="s">
        <v>29</v>
      </c>
      <c r="P105" t="s">
        <v>52</v>
      </c>
      <c r="Q105">
        <v>2024</v>
      </c>
      <c r="R105">
        <v>3</v>
      </c>
    </row>
    <row r="106" spans="1:18">
      <c r="A106" t="s">
        <v>438</v>
      </c>
      <c r="B106" t="s">
        <v>19</v>
      </c>
      <c r="C106" t="s">
        <v>415</v>
      </c>
      <c r="D106" t="s">
        <v>189</v>
      </c>
      <c r="E106" t="s">
        <v>135</v>
      </c>
      <c r="F106" t="s">
        <v>136</v>
      </c>
      <c r="G106" t="s">
        <v>24</v>
      </c>
      <c r="H106">
        <v>3</v>
      </c>
      <c r="I106">
        <v>299.99</v>
      </c>
      <c r="J106" t="s">
        <v>78</v>
      </c>
      <c r="K106" t="s">
        <v>50</v>
      </c>
      <c r="L106" t="s">
        <v>40</v>
      </c>
      <c r="M106" t="s">
        <v>439</v>
      </c>
      <c r="N106">
        <v>899.97</v>
      </c>
      <c r="O106" t="s">
        <v>29</v>
      </c>
      <c r="P106" t="s">
        <v>30</v>
      </c>
      <c r="Q106">
        <v>2024</v>
      </c>
      <c r="R106">
        <v>4</v>
      </c>
    </row>
    <row r="107" spans="1:18">
      <c r="A107" t="s">
        <v>440</v>
      </c>
      <c r="B107" t="s">
        <v>441</v>
      </c>
      <c r="C107" t="s">
        <v>238</v>
      </c>
      <c r="D107" t="s">
        <v>21</v>
      </c>
      <c r="E107" t="s">
        <v>126</v>
      </c>
      <c r="F107" t="s">
        <v>127</v>
      </c>
      <c r="G107" t="s">
        <v>95</v>
      </c>
      <c r="H107">
        <v>4</v>
      </c>
      <c r="I107">
        <v>79.99</v>
      </c>
      <c r="J107" t="s">
        <v>49</v>
      </c>
      <c r="K107" t="s">
        <v>137</v>
      </c>
      <c r="L107" t="s">
        <v>59</v>
      </c>
      <c r="M107" t="s">
        <v>442</v>
      </c>
      <c r="N107">
        <v>319.96</v>
      </c>
      <c r="O107" t="s">
        <v>29</v>
      </c>
      <c r="P107" t="s">
        <v>42</v>
      </c>
      <c r="Q107">
        <v>2024</v>
      </c>
      <c r="R107">
        <v>3</v>
      </c>
    </row>
    <row r="108" spans="1:18">
      <c r="A108" t="s">
        <v>443</v>
      </c>
      <c r="B108" t="s">
        <v>444</v>
      </c>
      <c r="C108" t="s">
        <v>268</v>
      </c>
      <c r="D108" t="s">
        <v>110</v>
      </c>
      <c r="E108" t="s">
        <v>126</v>
      </c>
      <c r="F108" t="s">
        <v>127</v>
      </c>
      <c r="G108" t="s">
        <v>95</v>
      </c>
      <c r="H108">
        <v>3</v>
      </c>
      <c r="I108">
        <v>79.99</v>
      </c>
      <c r="J108" t="s">
        <v>49</v>
      </c>
      <c r="K108" t="s">
        <v>137</v>
      </c>
      <c r="L108" t="s">
        <v>59</v>
      </c>
      <c r="M108" t="s">
        <v>445</v>
      </c>
      <c r="N108">
        <v>239.97</v>
      </c>
      <c r="O108" t="s">
        <v>29</v>
      </c>
      <c r="P108" t="s">
        <v>88</v>
      </c>
      <c r="Q108">
        <v>2024</v>
      </c>
      <c r="R108">
        <v>4</v>
      </c>
    </row>
    <row r="109" spans="1:18">
      <c r="A109" t="s">
        <v>446</v>
      </c>
      <c r="B109" t="s">
        <v>447</v>
      </c>
      <c r="C109" t="s">
        <v>149</v>
      </c>
      <c r="D109" t="s">
        <v>56</v>
      </c>
      <c r="E109" t="s">
        <v>135</v>
      </c>
      <c r="F109" t="s">
        <v>136</v>
      </c>
      <c r="G109" t="s">
        <v>24</v>
      </c>
      <c r="H109">
        <v>1</v>
      </c>
      <c r="I109">
        <v>299.99</v>
      </c>
      <c r="J109" t="s">
        <v>49</v>
      </c>
      <c r="K109" t="s">
        <v>39</v>
      </c>
      <c r="L109" t="s">
        <v>27</v>
      </c>
      <c r="M109" t="s">
        <v>448</v>
      </c>
      <c r="N109">
        <v>299.99</v>
      </c>
      <c r="O109" t="s">
        <v>29</v>
      </c>
      <c r="P109" t="s">
        <v>122</v>
      </c>
      <c r="Q109">
        <v>2025</v>
      </c>
      <c r="R109">
        <v>4</v>
      </c>
    </row>
    <row r="110" spans="1:18">
      <c r="A110" t="s">
        <v>449</v>
      </c>
      <c r="B110" t="s">
        <v>450</v>
      </c>
      <c r="C110" t="s">
        <v>84</v>
      </c>
      <c r="D110" t="s">
        <v>116</v>
      </c>
      <c r="E110" t="s">
        <v>65</v>
      </c>
      <c r="F110" t="s">
        <v>66</v>
      </c>
      <c r="G110" t="s">
        <v>37</v>
      </c>
      <c r="H110">
        <v>4</v>
      </c>
      <c r="I110">
        <v>149.99</v>
      </c>
      <c r="J110" t="s">
        <v>38</v>
      </c>
      <c r="K110" t="s">
        <v>26</v>
      </c>
      <c r="L110" t="s">
        <v>27</v>
      </c>
      <c r="M110" t="s">
        <v>451</v>
      </c>
      <c r="N110">
        <v>599.96</v>
      </c>
      <c r="O110" t="s">
        <v>29</v>
      </c>
      <c r="P110" t="s">
        <v>112</v>
      </c>
      <c r="Q110">
        <v>2024</v>
      </c>
      <c r="R110">
        <v>5</v>
      </c>
    </row>
    <row r="111" spans="1:18">
      <c r="A111" t="s">
        <v>452</v>
      </c>
      <c r="B111" t="s">
        <v>453</v>
      </c>
      <c r="C111" t="s">
        <v>213</v>
      </c>
      <c r="D111" t="s">
        <v>125</v>
      </c>
      <c r="E111" t="s">
        <v>47</v>
      </c>
      <c r="F111" t="s">
        <v>48</v>
      </c>
      <c r="G111" t="s">
        <v>37</v>
      </c>
      <c r="H111">
        <v>1</v>
      </c>
      <c r="I111">
        <v>699.99</v>
      </c>
      <c r="J111" t="s">
        <v>38</v>
      </c>
      <c r="K111" t="s">
        <v>39</v>
      </c>
      <c r="L111" t="s">
        <v>59</v>
      </c>
      <c r="M111" t="s">
        <v>454</v>
      </c>
      <c r="N111">
        <v>699.99</v>
      </c>
      <c r="O111" t="s">
        <v>29</v>
      </c>
      <c r="P111" t="s">
        <v>42</v>
      </c>
      <c r="Q111">
        <v>2024</v>
      </c>
      <c r="R111">
        <v>3</v>
      </c>
    </row>
    <row r="112" spans="1:18">
      <c r="A112" t="s">
        <v>455</v>
      </c>
      <c r="B112" t="s">
        <v>267</v>
      </c>
      <c r="C112" t="s">
        <v>155</v>
      </c>
      <c r="D112" t="s">
        <v>46</v>
      </c>
      <c r="E112" t="s">
        <v>135</v>
      </c>
      <c r="F112" t="s">
        <v>136</v>
      </c>
      <c r="G112" t="s">
        <v>24</v>
      </c>
      <c r="H112">
        <v>3</v>
      </c>
      <c r="I112">
        <v>299.99</v>
      </c>
      <c r="J112" t="s">
        <v>25</v>
      </c>
      <c r="K112" t="s">
        <v>39</v>
      </c>
      <c r="L112" t="s">
        <v>59</v>
      </c>
      <c r="M112" t="s">
        <v>456</v>
      </c>
      <c r="N112">
        <v>899.97</v>
      </c>
      <c r="O112" t="s">
        <v>29</v>
      </c>
      <c r="P112" t="s">
        <v>88</v>
      </c>
      <c r="Q112">
        <v>2024</v>
      </c>
      <c r="R112">
        <v>2</v>
      </c>
    </row>
    <row r="113" spans="1:18">
      <c r="A113" t="s">
        <v>457</v>
      </c>
      <c r="B113" t="s">
        <v>458</v>
      </c>
      <c r="C113" t="s">
        <v>71</v>
      </c>
      <c r="D113" t="s">
        <v>77</v>
      </c>
      <c r="E113" t="s">
        <v>47</v>
      </c>
      <c r="F113" t="s">
        <v>48</v>
      </c>
      <c r="G113" t="s">
        <v>37</v>
      </c>
      <c r="H113">
        <v>3</v>
      </c>
      <c r="I113">
        <v>699.99</v>
      </c>
      <c r="J113" t="s">
        <v>49</v>
      </c>
      <c r="K113" t="s">
        <v>79</v>
      </c>
      <c r="L113" t="s">
        <v>59</v>
      </c>
      <c r="M113" t="s">
        <v>459</v>
      </c>
      <c r="N113">
        <v>2099.97</v>
      </c>
      <c r="O113" t="s">
        <v>29</v>
      </c>
      <c r="P113" t="s">
        <v>52</v>
      </c>
      <c r="Q113">
        <v>2024</v>
      </c>
      <c r="R113">
        <v>4</v>
      </c>
    </row>
    <row r="114" spans="1:18">
      <c r="A114" t="s">
        <v>460</v>
      </c>
      <c r="B114" t="s">
        <v>461</v>
      </c>
      <c r="C114" t="s">
        <v>115</v>
      </c>
      <c r="D114" t="s">
        <v>110</v>
      </c>
      <c r="E114" t="s">
        <v>93</v>
      </c>
      <c r="F114" t="s">
        <v>94</v>
      </c>
      <c r="G114" t="s">
        <v>95</v>
      </c>
      <c r="H114">
        <v>4</v>
      </c>
      <c r="I114">
        <v>59.99</v>
      </c>
      <c r="J114" t="s">
        <v>49</v>
      </c>
      <c r="K114" t="s">
        <v>26</v>
      </c>
      <c r="L114" t="s">
        <v>27</v>
      </c>
      <c r="M114" t="s">
        <v>462</v>
      </c>
      <c r="N114">
        <v>239.96</v>
      </c>
      <c r="O114" t="s">
        <v>29</v>
      </c>
      <c r="P114" t="s">
        <v>112</v>
      </c>
      <c r="Q114">
        <v>2024</v>
      </c>
      <c r="R114">
        <v>5</v>
      </c>
    </row>
    <row r="115" spans="1:18">
      <c r="A115" t="s">
        <v>463</v>
      </c>
      <c r="B115" t="s">
        <v>464</v>
      </c>
      <c r="C115" t="s">
        <v>171</v>
      </c>
      <c r="D115" t="s">
        <v>273</v>
      </c>
      <c r="E115" t="s">
        <v>85</v>
      </c>
      <c r="F115" t="s">
        <v>86</v>
      </c>
      <c r="G115" t="s">
        <v>24</v>
      </c>
      <c r="H115">
        <v>2</v>
      </c>
      <c r="I115">
        <v>149.99</v>
      </c>
      <c r="J115" t="s">
        <v>38</v>
      </c>
      <c r="K115" t="s">
        <v>39</v>
      </c>
      <c r="L115" t="s">
        <v>27</v>
      </c>
      <c r="M115" t="s">
        <v>465</v>
      </c>
      <c r="N115">
        <v>299.98</v>
      </c>
      <c r="O115" t="s">
        <v>29</v>
      </c>
      <c r="P115" t="s">
        <v>88</v>
      </c>
      <c r="Q115">
        <v>2024</v>
      </c>
      <c r="R115">
        <v>3</v>
      </c>
    </row>
    <row r="116" spans="1:18">
      <c r="A116" t="s">
        <v>466</v>
      </c>
      <c r="B116" t="s">
        <v>276</v>
      </c>
      <c r="C116" t="s">
        <v>467</v>
      </c>
      <c r="D116" t="s">
        <v>56</v>
      </c>
      <c r="E116" t="s">
        <v>135</v>
      </c>
      <c r="F116" t="s">
        <v>136</v>
      </c>
      <c r="G116" t="s">
        <v>24</v>
      </c>
      <c r="H116">
        <v>2</v>
      </c>
      <c r="I116">
        <v>299.99</v>
      </c>
      <c r="J116" t="s">
        <v>38</v>
      </c>
      <c r="K116" t="s">
        <v>39</v>
      </c>
      <c r="L116" t="s">
        <v>40</v>
      </c>
      <c r="M116" t="s">
        <v>468</v>
      </c>
      <c r="N116">
        <v>599.98</v>
      </c>
      <c r="O116" t="s">
        <v>29</v>
      </c>
      <c r="P116" t="s">
        <v>52</v>
      </c>
      <c r="Q116">
        <v>2024</v>
      </c>
      <c r="R116">
        <v>5</v>
      </c>
    </row>
    <row r="117" spans="1:18">
      <c r="A117" t="s">
        <v>469</v>
      </c>
      <c r="B117" t="s">
        <v>470</v>
      </c>
      <c r="C117" t="s">
        <v>401</v>
      </c>
      <c r="D117" t="s">
        <v>172</v>
      </c>
      <c r="E117" t="s">
        <v>93</v>
      </c>
      <c r="F117" t="s">
        <v>94</v>
      </c>
      <c r="G117" t="s">
        <v>95</v>
      </c>
      <c r="H117">
        <v>2</v>
      </c>
      <c r="I117">
        <v>59.99</v>
      </c>
      <c r="J117" t="s">
        <v>78</v>
      </c>
      <c r="K117" t="s">
        <v>50</v>
      </c>
      <c r="L117" t="s">
        <v>40</v>
      </c>
      <c r="M117" t="s">
        <v>471</v>
      </c>
      <c r="N117">
        <v>119.98</v>
      </c>
      <c r="O117" t="s">
        <v>29</v>
      </c>
      <c r="P117" t="s">
        <v>112</v>
      </c>
      <c r="Q117">
        <v>2024</v>
      </c>
      <c r="R117">
        <v>3</v>
      </c>
    </row>
    <row r="118" spans="1:18">
      <c r="A118" t="s">
        <v>472</v>
      </c>
      <c r="B118" t="s">
        <v>237</v>
      </c>
      <c r="C118" t="s">
        <v>415</v>
      </c>
      <c r="D118" t="s">
        <v>296</v>
      </c>
      <c r="E118" t="s">
        <v>93</v>
      </c>
      <c r="F118" t="s">
        <v>94</v>
      </c>
      <c r="G118" t="s">
        <v>95</v>
      </c>
      <c r="H118">
        <v>3</v>
      </c>
      <c r="I118">
        <v>59.99</v>
      </c>
      <c r="J118" t="s">
        <v>25</v>
      </c>
      <c r="K118" t="s">
        <v>39</v>
      </c>
      <c r="L118" t="s">
        <v>40</v>
      </c>
      <c r="M118" t="s">
        <v>391</v>
      </c>
      <c r="N118">
        <v>179.97</v>
      </c>
      <c r="O118" t="s">
        <v>29</v>
      </c>
      <c r="P118" t="s">
        <v>185</v>
      </c>
      <c r="Q118">
        <v>2024</v>
      </c>
      <c r="R118">
        <v>3</v>
      </c>
    </row>
    <row r="119" spans="1:18">
      <c r="A119" t="s">
        <v>473</v>
      </c>
      <c r="B119" t="s">
        <v>474</v>
      </c>
      <c r="C119" t="s">
        <v>283</v>
      </c>
      <c r="D119" t="s">
        <v>277</v>
      </c>
      <c r="E119" t="s">
        <v>47</v>
      </c>
      <c r="F119" t="s">
        <v>48</v>
      </c>
      <c r="G119" t="s">
        <v>37</v>
      </c>
      <c r="H119">
        <v>4</v>
      </c>
      <c r="I119">
        <v>699.99</v>
      </c>
      <c r="J119" t="s">
        <v>38</v>
      </c>
      <c r="K119" t="s">
        <v>79</v>
      </c>
      <c r="L119" t="s">
        <v>40</v>
      </c>
      <c r="M119" t="s">
        <v>475</v>
      </c>
      <c r="N119">
        <v>2799.96</v>
      </c>
      <c r="O119" t="s">
        <v>29</v>
      </c>
      <c r="P119" t="s">
        <v>81</v>
      </c>
      <c r="Q119">
        <v>2024</v>
      </c>
      <c r="R119">
        <v>3</v>
      </c>
    </row>
    <row r="120" spans="1:18">
      <c r="A120" t="s">
        <v>476</v>
      </c>
      <c r="B120" t="s">
        <v>477</v>
      </c>
      <c r="C120" t="s">
        <v>353</v>
      </c>
      <c r="D120" t="s">
        <v>77</v>
      </c>
      <c r="E120" t="s">
        <v>85</v>
      </c>
      <c r="F120" t="s">
        <v>86</v>
      </c>
      <c r="G120" t="s">
        <v>24</v>
      </c>
      <c r="H120">
        <v>2</v>
      </c>
      <c r="I120">
        <v>149.99</v>
      </c>
      <c r="J120" t="s">
        <v>49</v>
      </c>
      <c r="K120" t="s">
        <v>50</v>
      </c>
      <c r="L120" t="s">
        <v>40</v>
      </c>
      <c r="M120" t="s">
        <v>478</v>
      </c>
      <c r="N120">
        <v>299.98</v>
      </c>
      <c r="O120" t="s">
        <v>29</v>
      </c>
      <c r="P120" t="s">
        <v>298</v>
      </c>
      <c r="Q120">
        <v>2024</v>
      </c>
      <c r="R120">
        <v>3</v>
      </c>
    </row>
    <row r="121" spans="1:18">
      <c r="A121" t="s">
        <v>479</v>
      </c>
      <c r="B121" t="s">
        <v>480</v>
      </c>
      <c r="C121" t="s">
        <v>242</v>
      </c>
      <c r="D121" t="s">
        <v>340</v>
      </c>
      <c r="E121" t="s">
        <v>22</v>
      </c>
      <c r="F121" t="s">
        <v>23</v>
      </c>
      <c r="G121" t="s">
        <v>24</v>
      </c>
      <c r="H121">
        <v>3</v>
      </c>
      <c r="I121">
        <v>199.99</v>
      </c>
      <c r="J121" t="s">
        <v>49</v>
      </c>
      <c r="K121" t="s">
        <v>79</v>
      </c>
      <c r="L121" t="s">
        <v>40</v>
      </c>
      <c r="M121" t="s">
        <v>481</v>
      </c>
      <c r="N121">
        <v>599.97</v>
      </c>
      <c r="O121" t="s">
        <v>29</v>
      </c>
      <c r="P121" t="s">
        <v>81</v>
      </c>
      <c r="Q121">
        <v>2024</v>
      </c>
      <c r="R121">
        <v>3</v>
      </c>
    </row>
    <row r="122" spans="1:18">
      <c r="A122" t="s">
        <v>482</v>
      </c>
      <c r="B122" t="s">
        <v>483</v>
      </c>
      <c r="C122" t="s">
        <v>230</v>
      </c>
      <c r="D122" t="s">
        <v>64</v>
      </c>
      <c r="E122" t="s">
        <v>126</v>
      </c>
      <c r="F122" t="s">
        <v>127</v>
      </c>
      <c r="G122" t="s">
        <v>95</v>
      </c>
      <c r="H122">
        <v>4</v>
      </c>
      <c r="I122">
        <v>79.99</v>
      </c>
      <c r="J122" t="s">
        <v>78</v>
      </c>
      <c r="K122" t="s">
        <v>137</v>
      </c>
      <c r="L122" t="s">
        <v>59</v>
      </c>
      <c r="M122" t="s">
        <v>484</v>
      </c>
      <c r="N122">
        <v>319.96</v>
      </c>
      <c r="O122" t="s">
        <v>29</v>
      </c>
      <c r="P122" t="s">
        <v>112</v>
      </c>
      <c r="Q122">
        <v>2024</v>
      </c>
      <c r="R122">
        <v>5</v>
      </c>
    </row>
    <row r="123" spans="1:18">
      <c r="A123" t="s">
        <v>485</v>
      </c>
      <c r="B123" t="s">
        <v>271</v>
      </c>
      <c r="C123" t="s">
        <v>405</v>
      </c>
      <c r="D123" t="s">
        <v>46</v>
      </c>
      <c r="E123" t="s">
        <v>47</v>
      </c>
      <c r="F123" t="s">
        <v>48</v>
      </c>
      <c r="G123" t="s">
        <v>37</v>
      </c>
      <c r="H123">
        <v>1</v>
      </c>
      <c r="I123">
        <v>699.99</v>
      </c>
      <c r="J123" t="s">
        <v>38</v>
      </c>
      <c r="K123" t="s">
        <v>79</v>
      </c>
      <c r="L123" t="s">
        <v>27</v>
      </c>
      <c r="M123" t="s">
        <v>486</v>
      </c>
      <c r="N123">
        <v>699.99</v>
      </c>
      <c r="O123" t="s">
        <v>29</v>
      </c>
      <c r="P123" t="s">
        <v>185</v>
      </c>
      <c r="Q123">
        <v>2024</v>
      </c>
      <c r="R123">
        <v>4</v>
      </c>
    </row>
    <row r="124" spans="1:18">
      <c r="A124" t="s">
        <v>487</v>
      </c>
      <c r="B124" t="s">
        <v>324</v>
      </c>
      <c r="C124" t="s">
        <v>371</v>
      </c>
      <c r="D124" t="s">
        <v>92</v>
      </c>
      <c r="E124" t="s">
        <v>85</v>
      </c>
      <c r="F124" t="s">
        <v>86</v>
      </c>
      <c r="G124" t="s">
        <v>24</v>
      </c>
      <c r="H124">
        <v>2</v>
      </c>
      <c r="I124">
        <v>149.99</v>
      </c>
      <c r="J124" t="s">
        <v>49</v>
      </c>
      <c r="K124" t="s">
        <v>50</v>
      </c>
      <c r="L124" t="s">
        <v>27</v>
      </c>
      <c r="M124" t="s">
        <v>488</v>
      </c>
      <c r="N124">
        <v>299.98</v>
      </c>
      <c r="O124" t="s">
        <v>29</v>
      </c>
      <c r="P124" t="s">
        <v>185</v>
      </c>
      <c r="Q124">
        <v>2024</v>
      </c>
      <c r="R124">
        <v>4</v>
      </c>
    </row>
    <row r="125" spans="1:18">
      <c r="A125" t="s">
        <v>489</v>
      </c>
      <c r="B125" t="s">
        <v>490</v>
      </c>
      <c r="C125" t="s">
        <v>45</v>
      </c>
      <c r="D125" t="s">
        <v>172</v>
      </c>
      <c r="E125" t="s">
        <v>47</v>
      </c>
      <c r="F125" t="s">
        <v>48</v>
      </c>
      <c r="G125" t="s">
        <v>37</v>
      </c>
      <c r="H125">
        <v>3</v>
      </c>
      <c r="I125">
        <v>699.99</v>
      </c>
      <c r="J125" t="s">
        <v>78</v>
      </c>
      <c r="K125" t="s">
        <v>26</v>
      </c>
      <c r="L125" t="s">
        <v>27</v>
      </c>
      <c r="M125" t="s">
        <v>491</v>
      </c>
      <c r="N125">
        <v>2099.97</v>
      </c>
      <c r="O125" t="s">
        <v>29</v>
      </c>
      <c r="P125" t="s">
        <v>88</v>
      </c>
      <c r="Q125">
        <v>2024</v>
      </c>
      <c r="R125">
        <v>3</v>
      </c>
    </row>
    <row r="126" spans="1:18">
      <c r="A126" t="s">
        <v>492</v>
      </c>
      <c r="B126" t="s">
        <v>493</v>
      </c>
      <c r="C126" t="s">
        <v>84</v>
      </c>
      <c r="D126" t="s">
        <v>257</v>
      </c>
      <c r="E126" t="s">
        <v>93</v>
      </c>
      <c r="F126" t="s">
        <v>94</v>
      </c>
      <c r="G126" t="s">
        <v>95</v>
      </c>
      <c r="H126">
        <v>2</v>
      </c>
      <c r="I126">
        <v>59.99</v>
      </c>
      <c r="J126" t="s">
        <v>49</v>
      </c>
      <c r="K126" t="s">
        <v>137</v>
      </c>
      <c r="L126" t="s">
        <v>59</v>
      </c>
      <c r="M126" t="s">
        <v>494</v>
      </c>
      <c r="N126">
        <v>119.98</v>
      </c>
      <c r="O126" t="s">
        <v>29</v>
      </c>
      <c r="P126" t="s">
        <v>52</v>
      </c>
      <c r="Q126">
        <v>2024</v>
      </c>
      <c r="R126">
        <v>3</v>
      </c>
    </row>
    <row r="127" spans="1:18">
      <c r="A127" t="s">
        <v>495</v>
      </c>
      <c r="B127" t="s">
        <v>496</v>
      </c>
      <c r="C127" t="s">
        <v>149</v>
      </c>
      <c r="D127" t="s">
        <v>172</v>
      </c>
      <c r="E127" t="s">
        <v>57</v>
      </c>
      <c r="F127" t="s">
        <v>58</v>
      </c>
      <c r="G127" t="s">
        <v>37</v>
      </c>
      <c r="H127">
        <v>2</v>
      </c>
      <c r="I127">
        <v>89.99</v>
      </c>
      <c r="J127" t="s">
        <v>49</v>
      </c>
      <c r="K127" t="s">
        <v>50</v>
      </c>
      <c r="L127" t="s">
        <v>27</v>
      </c>
      <c r="M127" t="s">
        <v>497</v>
      </c>
      <c r="N127">
        <v>179.98</v>
      </c>
      <c r="O127" t="s">
        <v>29</v>
      </c>
      <c r="P127" t="s">
        <v>88</v>
      </c>
      <c r="Q127">
        <v>2024</v>
      </c>
      <c r="R127">
        <v>5</v>
      </c>
    </row>
    <row r="128" spans="1:18">
      <c r="A128" t="s">
        <v>498</v>
      </c>
      <c r="B128" t="s">
        <v>356</v>
      </c>
      <c r="C128" t="s">
        <v>425</v>
      </c>
      <c r="D128" t="s">
        <v>142</v>
      </c>
      <c r="E128" t="s">
        <v>126</v>
      </c>
      <c r="F128" t="s">
        <v>127</v>
      </c>
      <c r="G128" t="s">
        <v>95</v>
      </c>
      <c r="H128">
        <v>1</v>
      </c>
      <c r="I128">
        <v>79.99</v>
      </c>
      <c r="J128" t="s">
        <v>38</v>
      </c>
      <c r="K128" t="s">
        <v>137</v>
      </c>
      <c r="L128" t="s">
        <v>59</v>
      </c>
      <c r="M128" t="s">
        <v>499</v>
      </c>
      <c r="N128">
        <v>79.99</v>
      </c>
      <c r="O128" t="s">
        <v>29</v>
      </c>
      <c r="P128" t="s">
        <v>81</v>
      </c>
      <c r="Q128">
        <v>2024</v>
      </c>
      <c r="R128">
        <v>5</v>
      </c>
    </row>
    <row r="129" spans="1:18">
      <c r="A129" t="s">
        <v>500</v>
      </c>
      <c r="B129" t="s">
        <v>490</v>
      </c>
      <c r="C129" t="s">
        <v>501</v>
      </c>
      <c r="D129" t="s">
        <v>56</v>
      </c>
      <c r="E129" t="s">
        <v>22</v>
      </c>
      <c r="F129" t="s">
        <v>23</v>
      </c>
      <c r="G129" t="s">
        <v>24</v>
      </c>
      <c r="H129">
        <v>1</v>
      </c>
      <c r="I129">
        <v>199.99</v>
      </c>
      <c r="J129" t="s">
        <v>49</v>
      </c>
      <c r="K129" t="s">
        <v>50</v>
      </c>
      <c r="L129" t="s">
        <v>27</v>
      </c>
      <c r="M129" t="s">
        <v>502</v>
      </c>
      <c r="N129">
        <v>199.99</v>
      </c>
      <c r="O129" t="s">
        <v>29</v>
      </c>
      <c r="P129" t="s">
        <v>88</v>
      </c>
      <c r="Q129">
        <v>2024</v>
      </c>
      <c r="R129">
        <v>4</v>
      </c>
    </row>
    <row r="130" spans="1:18">
      <c r="A130" t="s">
        <v>503</v>
      </c>
      <c r="B130" t="s">
        <v>70</v>
      </c>
      <c r="C130" t="s">
        <v>84</v>
      </c>
      <c r="D130" t="s">
        <v>92</v>
      </c>
      <c r="E130" t="s">
        <v>126</v>
      </c>
      <c r="F130" t="s">
        <v>127</v>
      </c>
      <c r="G130" t="s">
        <v>95</v>
      </c>
      <c r="H130">
        <v>1</v>
      </c>
      <c r="I130">
        <v>79.99</v>
      </c>
      <c r="J130" t="s">
        <v>78</v>
      </c>
      <c r="K130" t="s">
        <v>39</v>
      </c>
      <c r="L130" t="s">
        <v>40</v>
      </c>
      <c r="M130" t="s">
        <v>504</v>
      </c>
      <c r="N130">
        <v>79.99</v>
      </c>
      <c r="O130" t="s">
        <v>29</v>
      </c>
      <c r="P130" t="s">
        <v>30</v>
      </c>
      <c r="Q130">
        <v>2024</v>
      </c>
      <c r="R130">
        <v>2</v>
      </c>
    </row>
    <row r="131" spans="1:18">
      <c r="A131" t="s">
        <v>505</v>
      </c>
      <c r="B131" t="s">
        <v>209</v>
      </c>
      <c r="C131" t="s">
        <v>272</v>
      </c>
      <c r="D131" t="s">
        <v>179</v>
      </c>
      <c r="E131" t="s">
        <v>57</v>
      </c>
      <c r="F131" t="s">
        <v>58</v>
      </c>
      <c r="G131" t="s">
        <v>37</v>
      </c>
      <c r="H131">
        <v>5</v>
      </c>
      <c r="I131">
        <v>89.99</v>
      </c>
      <c r="J131" t="s">
        <v>78</v>
      </c>
      <c r="K131" t="s">
        <v>137</v>
      </c>
      <c r="L131" t="s">
        <v>40</v>
      </c>
      <c r="M131" t="s">
        <v>506</v>
      </c>
      <c r="N131">
        <v>449.95</v>
      </c>
      <c r="O131" t="s">
        <v>29</v>
      </c>
      <c r="P131" t="s">
        <v>30</v>
      </c>
      <c r="Q131">
        <v>2024</v>
      </c>
      <c r="R131">
        <v>4</v>
      </c>
    </row>
    <row r="132" spans="1:18">
      <c r="A132" t="s">
        <v>507</v>
      </c>
      <c r="B132" t="s">
        <v>508</v>
      </c>
      <c r="C132" t="s">
        <v>415</v>
      </c>
      <c r="D132" t="s">
        <v>21</v>
      </c>
      <c r="E132" t="s">
        <v>126</v>
      </c>
      <c r="F132" t="s">
        <v>127</v>
      </c>
      <c r="G132" t="s">
        <v>95</v>
      </c>
      <c r="H132">
        <v>3</v>
      </c>
      <c r="I132">
        <v>79.99</v>
      </c>
      <c r="J132" t="s">
        <v>78</v>
      </c>
      <c r="K132" t="s">
        <v>79</v>
      </c>
      <c r="L132" t="s">
        <v>27</v>
      </c>
      <c r="M132" t="s">
        <v>385</v>
      </c>
      <c r="N132">
        <v>239.97</v>
      </c>
      <c r="O132" t="s">
        <v>29</v>
      </c>
      <c r="P132" t="s">
        <v>298</v>
      </c>
      <c r="Q132">
        <v>2024</v>
      </c>
      <c r="R132">
        <v>4</v>
      </c>
    </row>
    <row r="133" spans="1:18">
      <c r="A133" t="s">
        <v>509</v>
      </c>
      <c r="B133" t="s">
        <v>510</v>
      </c>
      <c r="C133" t="s">
        <v>405</v>
      </c>
      <c r="D133" t="s">
        <v>56</v>
      </c>
      <c r="E133" t="s">
        <v>22</v>
      </c>
      <c r="F133" t="s">
        <v>23</v>
      </c>
      <c r="G133" t="s">
        <v>24</v>
      </c>
      <c r="H133">
        <v>2</v>
      </c>
      <c r="I133">
        <v>199.99</v>
      </c>
      <c r="J133" t="s">
        <v>38</v>
      </c>
      <c r="K133" t="s">
        <v>50</v>
      </c>
      <c r="L133" t="s">
        <v>59</v>
      </c>
      <c r="M133" t="s">
        <v>511</v>
      </c>
      <c r="N133">
        <v>399.98</v>
      </c>
      <c r="O133" t="s">
        <v>29</v>
      </c>
      <c r="P133" t="s">
        <v>88</v>
      </c>
      <c r="Q133">
        <v>2024</v>
      </c>
      <c r="R133">
        <v>4</v>
      </c>
    </row>
    <row r="134" spans="1:18">
      <c r="A134" t="s">
        <v>512</v>
      </c>
      <c r="B134" t="s">
        <v>513</v>
      </c>
      <c r="C134" t="s">
        <v>200</v>
      </c>
      <c r="D134" t="s">
        <v>64</v>
      </c>
      <c r="E134" t="s">
        <v>47</v>
      </c>
      <c r="F134" t="s">
        <v>48</v>
      </c>
      <c r="G134" t="s">
        <v>37</v>
      </c>
      <c r="H134">
        <v>4</v>
      </c>
      <c r="I134">
        <v>699.99</v>
      </c>
      <c r="J134" t="s">
        <v>49</v>
      </c>
      <c r="K134" t="s">
        <v>50</v>
      </c>
      <c r="L134" t="s">
        <v>40</v>
      </c>
      <c r="M134" t="s">
        <v>514</v>
      </c>
      <c r="N134">
        <v>2799.96</v>
      </c>
      <c r="O134" t="s">
        <v>29</v>
      </c>
      <c r="P134" t="s">
        <v>68</v>
      </c>
      <c r="Q134">
        <v>2024</v>
      </c>
      <c r="R134">
        <v>3</v>
      </c>
    </row>
    <row r="135" spans="1:18">
      <c r="A135" t="s">
        <v>515</v>
      </c>
      <c r="B135" t="s">
        <v>516</v>
      </c>
      <c r="C135" t="s">
        <v>141</v>
      </c>
      <c r="D135" t="s">
        <v>222</v>
      </c>
      <c r="E135" t="s">
        <v>65</v>
      </c>
      <c r="F135" t="s">
        <v>66</v>
      </c>
      <c r="G135" t="s">
        <v>37</v>
      </c>
      <c r="H135">
        <v>4</v>
      </c>
      <c r="I135">
        <v>149.99</v>
      </c>
      <c r="J135" t="s">
        <v>78</v>
      </c>
      <c r="K135" t="s">
        <v>79</v>
      </c>
      <c r="L135" t="s">
        <v>40</v>
      </c>
      <c r="M135" t="s">
        <v>517</v>
      </c>
      <c r="N135">
        <v>599.96</v>
      </c>
      <c r="O135" t="s">
        <v>29</v>
      </c>
      <c r="P135" t="s">
        <v>185</v>
      </c>
      <c r="Q135">
        <v>2024</v>
      </c>
      <c r="R135">
        <v>3</v>
      </c>
    </row>
    <row r="136" spans="1:18">
      <c r="A136" t="s">
        <v>518</v>
      </c>
      <c r="B136" t="s">
        <v>187</v>
      </c>
      <c r="C136" t="s">
        <v>371</v>
      </c>
      <c r="D136" t="s">
        <v>142</v>
      </c>
      <c r="E136" t="s">
        <v>93</v>
      </c>
      <c r="F136" t="s">
        <v>94</v>
      </c>
      <c r="G136" t="s">
        <v>95</v>
      </c>
      <c r="H136">
        <v>5</v>
      </c>
      <c r="I136">
        <v>59.99</v>
      </c>
      <c r="J136" t="s">
        <v>78</v>
      </c>
      <c r="K136" t="s">
        <v>137</v>
      </c>
      <c r="L136" t="s">
        <v>59</v>
      </c>
      <c r="M136" t="s">
        <v>519</v>
      </c>
      <c r="N136">
        <v>299.95</v>
      </c>
      <c r="O136" t="s">
        <v>29</v>
      </c>
      <c r="P136" t="s">
        <v>30</v>
      </c>
      <c r="Q136">
        <v>2024</v>
      </c>
      <c r="R136">
        <v>3</v>
      </c>
    </row>
    <row r="137" spans="1:18">
      <c r="A137" t="s">
        <v>520</v>
      </c>
      <c r="B137" t="s">
        <v>521</v>
      </c>
      <c r="C137" t="s">
        <v>155</v>
      </c>
      <c r="D137" t="s">
        <v>34</v>
      </c>
      <c r="E137" t="s">
        <v>135</v>
      </c>
      <c r="F137" t="s">
        <v>136</v>
      </c>
      <c r="G137" t="s">
        <v>24</v>
      </c>
      <c r="H137">
        <v>2</v>
      </c>
      <c r="I137">
        <v>299.99</v>
      </c>
      <c r="J137" t="s">
        <v>25</v>
      </c>
      <c r="K137" t="s">
        <v>39</v>
      </c>
      <c r="L137" t="s">
        <v>59</v>
      </c>
      <c r="M137" t="s">
        <v>522</v>
      </c>
      <c r="N137">
        <v>599.98</v>
      </c>
      <c r="O137" t="s">
        <v>29</v>
      </c>
      <c r="P137" t="s">
        <v>298</v>
      </c>
      <c r="Q137">
        <v>2024</v>
      </c>
      <c r="R137">
        <v>2</v>
      </c>
    </row>
    <row r="138" spans="1:18">
      <c r="A138" t="s">
        <v>523</v>
      </c>
      <c r="B138" t="s">
        <v>480</v>
      </c>
      <c r="C138" t="s">
        <v>146</v>
      </c>
      <c r="D138" t="s">
        <v>142</v>
      </c>
      <c r="E138" t="s">
        <v>57</v>
      </c>
      <c r="F138" t="s">
        <v>58</v>
      </c>
      <c r="G138" t="s">
        <v>37</v>
      </c>
      <c r="H138">
        <v>3</v>
      </c>
      <c r="I138">
        <v>89.99</v>
      </c>
      <c r="J138" t="s">
        <v>25</v>
      </c>
      <c r="K138" t="s">
        <v>50</v>
      </c>
      <c r="L138" t="s">
        <v>40</v>
      </c>
      <c r="M138" t="s">
        <v>524</v>
      </c>
      <c r="N138">
        <v>269.97</v>
      </c>
      <c r="O138" t="s">
        <v>29</v>
      </c>
      <c r="P138" t="s">
        <v>81</v>
      </c>
      <c r="Q138">
        <v>2024</v>
      </c>
      <c r="R138">
        <v>4</v>
      </c>
    </row>
    <row r="139" spans="1:18">
      <c r="A139" t="s">
        <v>525</v>
      </c>
      <c r="B139" t="s">
        <v>526</v>
      </c>
      <c r="C139" t="s">
        <v>171</v>
      </c>
      <c r="D139" t="s">
        <v>243</v>
      </c>
      <c r="E139" t="s">
        <v>135</v>
      </c>
      <c r="F139" t="s">
        <v>136</v>
      </c>
      <c r="G139" t="s">
        <v>24</v>
      </c>
      <c r="H139">
        <v>1</v>
      </c>
      <c r="I139">
        <v>299.99</v>
      </c>
      <c r="J139" t="s">
        <v>49</v>
      </c>
      <c r="K139" t="s">
        <v>137</v>
      </c>
      <c r="L139" t="s">
        <v>59</v>
      </c>
      <c r="M139" t="s">
        <v>527</v>
      </c>
      <c r="N139">
        <v>299.99</v>
      </c>
      <c r="O139" t="s">
        <v>29</v>
      </c>
      <c r="P139" t="s">
        <v>106</v>
      </c>
      <c r="Q139">
        <v>2025</v>
      </c>
      <c r="R139">
        <v>3</v>
      </c>
    </row>
    <row r="140" spans="1:18">
      <c r="A140" t="s">
        <v>528</v>
      </c>
      <c r="B140" t="s">
        <v>529</v>
      </c>
      <c r="C140" t="s">
        <v>20</v>
      </c>
      <c r="D140" t="s">
        <v>46</v>
      </c>
      <c r="E140" t="s">
        <v>93</v>
      </c>
      <c r="F140" t="s">
        <v>94</v>
      </c>
      <c r="G140" t="s">
        <v>95</v>
      </c>
      <c r="H140">
        <v>2</v>
      </c>
      <c r="I140">
        <v>59.99</v>
      </c>
      <c r="J140" t="s">
        <v>38</v>
      </c>
      <c r="K140" t="s">
        <v>79</v>
      </c>
      <c r="L140" t="s">
        <v>40</v>
      </c>
      <c r="M140" t="s">
        <v>530</v>
      </c>
      <c r="N140">
        <v>119.98</v>
      </c>
      <c r="O140" t="s">
        <v>29</v>
      </c>
      <c r="P140" t="s">
        <v>106</v>
      </c>
      <c r="Q140">
        <v>2025</v>
      </c>
      <c r="R140">
        <v>4</v>
      </c>
    </row>
    <row r="141" spans="1:18">
      <c r="A141" t="s">
        <v>531</v>
      </c>
      <c r="B141" t="s">
        <v>532</v>
      </c>
      <c r="C141" t="s">
        <v>104</v>
      </c>
      <c r="D141" t="s">
        <v>56</v>
      </c>
      <c r="E141" t="s">
        <v>93</v>
      </c>
      <c r="F141" t="s">
        <v>94</v>
      </c>
      <c r="G141" t="s">
        <v>95</v>
      </c>
      <c r="H141">
        <v>2</v>
      </c>
      <c r="I141">
        <v>59.99</v>
      </c>
      <c r="J141" t="s">
        <v>38</v>
      </c>
      <c r="K141" t="s">
        <v>39</v>
      </c>
      <c r="L141" t="s">
        <v>27</v>
      </c>
      <c r="M141" t="s">
        <v>533</v>
      </c>
      <c r="N141">
        <v>119.98</v>
      </c>
      <c r="O141" t="s">
        <v>29</v>
      </c>
      <c r="P141" t="s">
        <v>112</v>
      </c>
      <c r="Q141">
        <v>2024</v>
      </c>
      <c r="R141">
        <v>2</v>
      </c>
    </row>
    <row r="142" spans="1:18">
      <c r="A142" t="s">
        <v>534</v>
      </c>
      <c r="B142" t="s">
        <v>282</v>
      </c>
      <c r="C142" t="s">
        <v>268</v>
      </c>
      <c r="D142" t="s">
        <v>226</v>
      </c>
      <c r="E142" t="s">
        <v>57</v>
      </c>
      <c r="F142" t="s">
        <v>58</v>
      </c>
      <c r="G142" t="s">
        <v>37</v>
      </c>
      <c r="H142">
        <v>2</v>
      </c>
      <c r="I142">
        <v>89.99</v>
      </c>
      <c r="J142" t="s">
        <v>49</v>
      </c>
      <c r="K142" t="s">
        <v>79</v>
      </c>
      <c r="L142" t="s">
        <v>40</v>
      </c>
      <c r="M142" t="s">
        <v>535</v>
      </c>
      <c r="N142">
        <v>179.98</v>
      </c>
      <c r="O142" t="s">
        <v>29</v>
      </c>
      <c r="P142" t="s">
        <v>185</v>
      </c>
      <c r="Q142">
        <v>2024</v>
      </c>
      <c r="R142">
        <v>3</v>
      </c>
    </row>
    <row r="143" spans="1:18">
      <c r="A143" t="s">
        <v>536</v>
      </c>
      <c r="B143" t="s">
        <v>537</v>
      </c>
      <c r="C143" t="s">
        <v>331</v>
      </c>
      <c r="D143" t="s">
        <v>125</v>
      </c>
      <c r="E143" t="s">
        <v>57</v>
      </c>
      <c r="F143" t="s">
        <v>58</v>
      </c>
      <c r="G143" t="s">
        <v>37</v>
      </c>
      <c r="H143">
        <v>2</v>
      </c>
      <c r="I143">
        <v>89.99</v>
      </c>
      <c r="J143" t="s">
        <v>38</v>
      </c>
      <c r="K143" t="s">
        <v>26</v>
      </c>
      <c r="L143" t="s">
        <v>40</v>
      </c>
      <c r="M143" t="s">
        <v>538</v>
      </c>
      <c r="N143">
        <v>179.98</v>
      </c>
      <c r="O143" t="s">
        <v>29</v>
      </c>
      <c r="P143" t="s">
        <v>112</v>
      </c>
      <c r="Q143">
        <v>2024</v>
      </c>
      <c r="R143">
        <v>3</v>
      </c>
    </row>
    <row r="144" spans="1:18">
      <c r="A144" t="s">
        <v>539</v>
      </c>
      <c r="B144" t="s">
        <v>540</v>
      </c>
      <c r="C144" t="s">
        <v>71</v>
      </c>
      <c r="D144" t="s">
        <v>21</v>
      </c>
      <c r="E144" t="s">
        <v>65</v>
      </c>
      <c r="F144" t="s">
        <v>66</v>
      </c>
      <c r="G144" t="s">
        <v>37</v>
      </c>
      <c r="H144">
        <v>2</v>
      </c>
      <c r="I144">
        <v>149.99</v>
      </c>
      <c r="J144" t="s">
        <v>25</v>
      </c>
      <c r="K144" t="s">
        <v>26</v>
      </c>
      <c r="L144" t="s">
        <v>40</v>
      </c>
      <c r="M144" t="s">
        <v>541</v>
      </c>
      <c r="N144">
        <v>299.98</v>
      </c>
      <c r="O144" t="s">
        <v>29</v>
      </c>
      <c r="P144" t="s">
        <v>42</v>
      </c>
      <c r="Q144">
        <v>2024</v>
      </c>
      <c r="R144">
        <v>5</v>
      </c>
    </row>
    <row r="145" spans="1:18">
      <c r="A145" t="s">
        <v>542</v>
      </c>
      <c r="B145" t="s">
        <v>543</v>
      </c>
      <c r="C145" t="s">
        <v>307</v>
      </c>
      <c r="D145" t="s">
        <v>77</v>
      </c>
      <c r="E145" t="s">
        <v>135</v>
      </c>
      <c r="F145" t="s">
        <v>136</v>
      </c>
      <c r="G145" t="s">
        <v>24</v>
      </c>
      <c r="H145">
        <v>5</v>
      </c>
      <c r="I145">
        <v>299.99</v>
      </c>
      <c r="J145" t="s">
        <v>78</v>
      </c>
      <c r="K145" t="s">
        <v>79</v>
      </c>
      <c r="L145" t="s">
        <v>59</v>
      </c>
      <c r="M145" t="s">
        <v>131</v>
      </c>
      <c r="N145">
        <v>1499.95</v>
      </c>
      <c r="O145" t="s">
        <v>29</v>
      </c>
      <c r="P145" t="s">
        <v>52</v>
      </c>
      <c r="Q145">
        <v>2024</v>
      </c>
      <c r="R145">
        <v>2</v>
      </c>
    </row>
    <row r="146" spans="1:18">
      <c r="A146" t="s">
        <v>544</v>
      </c>
      <c r="B146" t="s">
        <v>44</v>
      </c>
      <c r="C146" t="s">
        <v>200</v>
      </c>
      <c r="D146" t="s">
        <v>179</v>
      </c>
      <c r="E146" t="s">
        <v>57</v>
      </c>
      <c r="F146" t="s">
        <v>58</v>
      </c>
      <c r="G146" t="s">
        <v>37</v>
      </c>
      <c r="H146">
        <v>2</v>
      </c>
      <c r="I146">
        <v>89.99</v>
      </c>
      <c r="J146" t="s">
        <v>38</v>
      </c>
      <c r="K146" t="s">
        <v>50</v>
      </c>
      <c r="L146" t="s">
        <v>59</v>
      </c>
      <c r="M146" t="s">
        <v>545</v>
      </c>
      <c r="N146">
        <v>179.98</v>
      </c>
      <c r="O146" t="s">
        <v>29</v>
      </c>
      <c r="P146" t="s">
        <v>52</v>
      </c>
      <c r="Q146">
        <v>2024</v>
      </c>
      <c r="R146">
        <v>3</v>
      </c>
    </row>
    <row r="147" spans="1:18">
      <c r="A147" t="s">
        <v>546</v>
      </c>
      <c r="B147" t="s">
        <v>547</v>
      </c>
      <c r="C147" t="s">
        <v>221</v>
      </c>
      <c r="D147" t="s">
        <v>257</v>
      </c>
      <c r="E147" t="s">
        <v>65</v>
      </c>
      <c r="F147" t="s">
        <v>66</v>
      </c>
      <c r="G147" t="s">
        <v>37</v>
      </c>
      <c r="H147">
        <v>1</v>
      </c>
      <c r="I147">
        <v>149.99</v>
      </c>
      <c r="J147" t="s">
        <v>38</v>
      </c>
      <c r="K147" t="s">
        <v>50</v>
      </c>
      <c r="L147" t="s">
        <v>59</v>
      </c>
      <c r="M147" t="s">
        <v>548</v>
      </c>
      <c r="N147">
        <v>149.99</v>
      </c>
      <c r="O147" t="s">
        <v>29</v>
      </c>
      <c r="P147" t="s">
        <v>298</v>
      </c>
      <c r="Q147">
        <v>2024</v>
      </c>
      <c r="R147">
        <v>2</v>
      </c>
    </row>
    <row r="148" spans="1:18">
      <c r="A148" t="s">
        <v>549</v>
      </c>
      <c r="B148" t="s">
        <v>411</v>
      </c>
      <c r="C148" t="s">
        <v>20</v>
      </c>
      <c r="D148" t="s">
        <v>134</v>
      </c>
      <c r="E148" t="s">
        <v>65</v>
      </c>
      <c r="F148" t="s">
        <v>66</v>
      </c>
      <c r="G148" t="s">
        <v>37</v>
      </c>
      <c r="H148">
        <v>4</v>
      </c>
      <c r="I148">
        <v>149.99</v>
      </c>
      <c r="J148" t="s">
        <v>78</v>
      </c>
      <c r="K148" t="s">
        <v>79</v>
      </c>
      <c r="L148" t="s">
        <v>59</v>
      </c>
      <c r="M148" t="s">
        <v>550</v>
      </c>
      <c r="N148">
        <v>599.96</v>
      </c>
      <c r="O148" t="s">
        <v>29</v>
      </c>
      <c r="P148" t="s">
        <v>52</v>
      </c>
      <c r="Q148">
        <v>2024</v>
      </c>
      <c r="R148">
        <v>4</v>
      </c>
    </row>
    <row r="149" spans="1:18">
      <c r="A149" t="s">
        <v>551</v>
      </c>
      <c r="B149" t="s">
        <v>330</v>
      </c>
      <c r="C149" t="s">
        <v>200</v>
      </c>
      <c r="D149" t="s">
        <v>56</v>
      </c>
      <c r="E149" t="s">
        <v>47</v>
      </c>
      <c r="F149" t="s">
        <v>48</v>
      </c>
      <c r="G149" t="s">
        <v>37</v>
      </c>
      <c r="H149">
        <v>4</v>
      </c>
      <c r="I149">
        <v>699.99</v>
      </c>
      <c r="J149" t="s">
        <v>25</v>
      </c>
      <c r="K149" t="s">
        <v>137</v>
      </c>
      <c r="L149" t="s">
        <v>40</v>
      </c>
      <c r="M149" t="s">
        <v>552</v>
      </c>
      <c r="N149">
        <v>2799.96</v>
      </c>
      <c r="O149" t="s">
        <v>29</v>
      </c>
      <c r="P149" t="s">
        <v>81</v>
      </c>
      <c r="Q149">
        <v>2024</v>
      </c>
      <c r="R149">
        <v>2</v>
      </c>
    </row>
    <row r="150" spans="1:18">
      <c r="A150" t="s">
        <v>553</v>
      </c>
      <c r="B150" t="s">
        <v>554</v>
      </c>
      <c r="C150" t="s">
        <v>99</v>
      </c>
      <c r="D150" t="s">
        <v>243</v>
      </c>
      <c r="E150" t="s">
        <v>22</v>
      </c>
      <c r="F150" t="s">
        <v>23</v>
      </c>
      <c r="G150" t="s">
        <v>24</v>
      </c>
      <c r="H150">
        <v>5</v>
      </c>
      <c r="I150">
        <v>199.99</v>
      </c>
      <c r="J150" t="s">
        <v>38</v>
      </c>
      <c r="K150" t="s">
        <v>137</v>
      </c>
      <c r="L150" t="s">
        <v>40</v>
      </c>
      <c r="M150" t="s">
        <v>555</v>
      </c>
      <c r="N150">
        <v>999.95</v>
      </c>
      <c r="O150" t="s">
        <v>29</v>
      </c>
      <c r="P150" t="s">
        <v>112</v>
      </c>
      <c r="Q150">
        <v>2024</v>
      </c>
      <c r="R150">
        <v>5</v>
      </c>
    </row>
    <row r="151" spans="1:18">
      <c r="A151" t="s">
        <v>556</v>
      </c>
      <c r="B151" t="s">
        <v>557</v>
      </c>
      <c r="C151" t="s">
        <v>146</v>
      </c>
      <c r="D151" t="s">
        <v>273</v>
      </c>
      <c r="E151" t="s">
        <v>47</v>
      </c>
      <c r="F151" t="s">
        <v>48</v>
      </c>
      <c r="G151" t="s">
        <v>37</v>
      </c>
      <c r="H151">
        <v>5</v>
      </c>
      <c r="I151">
        <v>699.99</v>
      </c>
      <c r="J151" t="s">
        <v>38</v>
      </c>
      <c r="K151" t="s">
        <v>26</v>
      </c>
      <c r="L151" t="s">
        <v>40</v>
      </c>
      <c r="M151" t="s">
        <v>558</v>
      </c>
      <c r="N151">
        <v>3499.95</v>
      </c>
      <c r="O151" t="s">
        <v>29</v>
      </c>
      <c r="P151" t="s">
        <v>68</v>
      </c>
      <c r="Q151">
        <v>2024</v>
      </c>
      <c r="R151">
        <v>4</v>
      </c>
    </row>
    <row r="152" spans="1:18">
      <c r="A152" t="s">
        <v>559</v>
      </c>
      <c r="B152" t="s">
        <v>209</v>
      </c>
      <c r="C152" t="s">
        <v>155</v>
      </c>
      <c r="D152" t="s">
        <v>100</v>
      </c>
      <c r="E152" t="s">
        <v>126</v>
      </c>
      <c r="F152" t="s">
        <v>127</v>
      </c>
      <c r="G152" t="s">
        <v>95</v>
      </c>
      <c r="H152">
        <v>1</v>
      </c>
      <c r="I152">
        <v>79.99</v>
      </c>
      <c r="J152" t="s">
        <v>78</v>
      </c>
      <c r="K152" t="s">
        <v>79</v>
      </c>
      <c r="L152" t="s">
        <v>40</v>
      </c>
      <c r="M152" t="s">
        <v>560</v>
      </c>
      <c r="N152">
        <v>79.99</v>
      </c>
      <c r="O152" t="s">
        <v>29</v>
      </c>
      <c r="P152" t="s">
        <v>30</v>
      </c>
      <c r="Q152">
        <v>2024</v>
      </c>
      <c r="R152">
        <v>3</v>
      </c>
    </row>
    <row r="153" spans="1:18">
      <c r="A153" t="s">
        <v>561</v>
      </c>
      <c r="B153" t="s">
        <v>562</v>
      </c>
      <c r="C153" t="s">
        <v>325</v>
      </c>
      <c r="D153" t="s">
        <v>172</v>
      </c>
      <c r="E153" t="s">
        <v>93</v>
      </c>
      <c r="F153" t="s">
        <v>94</v>
      </c>
      <c r="G153" t="s">
        <v>95</v>
      </c>
      <c r="H153">
        <v>5</v>
      </c>
      <c r="I153">
        <v>59.99</v>
      </c>
      <c r="J153" t="s">
        <v>49</v>
      </c>
      <c r="K153" t="s">
        <v>26</v>
      </c>
      <c r="L153" t="s">
        <v>59</v>
      </c>
      <c r="M153" t="s">
        <v>563</v>
      </c>
      <c r="N153">
        <v>299.95</v>
      </c>
      <c r="O153" t="s">
        <v>29</v>
      </c>
      <c r="P153" t="s">
        <v>81</v>
      </c>
      <c r="Q153">
        <v>2024</v>
      </c>
      <c r="R153">
        <v>4</v>
      </c>
    </row>
    <row r="154" spans="1:18">
      <c r="A154" t="s">
        <v>564</v>
      </c>
      <c r="B154" t="s">
        <v>140</v>
      </c>
      <c r="C154" t="s">
        <v>155</v>
      </c>
      <c r="D154" t="s">
        <v>164</v>
      </c>
      <c r="E154" t="s">
        <v>35</v>
      </c>
      <c r="F154" t="s">
        <v>36</v>
      </c>
      <c r="G154" t="s">
        <v>37</v>
      </c>
      <c r="H154">
        <v>2</v>
      </c>
      <c r="I154">
        <v>899.99</v>
      </c>
      <c r="J154" t="s">
        <v>78</v>
      </c>
      <c r="K154" t="s">
        <v>26</v>
      </c>
      <c r="L154" t="s">
        <v>59</v>
      </c>
      <c r="M154" t="s">
        <v>565</v>
      </c>
      <c r="N154">
        <v>1799.98</v>
      </c>
      <c r="O154" t="s">
        <v>29</v>
      </c>
      <c r="P154" t="s">
        <v>42</v>
      </c>
      <c r="Q154">
        <v>2024</v>
      </c>
      <c r="R154">
        <v>3</v>
      </c>
    </row>
    <row r="155" spans="1:18">
      <c r="A155" t="s">
        <v>566</v>
      </c>
      <c r="B155" t="s">
        <v>567</v>
      </c>
      <c r="C155" t="s">
        <v>288</v>
      </c>
      <c r="D155" t="s">
        <v>164</v>
      </c>
      <c r="E155" t="s">
        <v>65</v>
      </c>
      <c r="F155" t="s">
        <v>66</v>
      </c>
      <c r="G155" t="s">
        <v>37</v>
      </c>
      <c r="H155">
        <v>3</v>
      </c>
      <c r="I155">
        <v>149.99</v>
      </c>
      <c r="J155" t="s">
        <v>78</v>
      </c>
      <c r="K155" t="s">
        <v>79</v>
      </c>
      <c r="L155" t="s">
        <v>27</v>
      </c>
      <c r="M155" t="s">
        <v>568</v>
      </c>
      <c r="N155">
        <v>449.97</v>
      </c>
      <c r="O155" t="s">
        <v>29</v>
      </c>
      <c r="P155" t="s">
        <v>68</v>
      </c>
      <c r="Q155">
        <v>2024</v>
      </c>
      <c r="R155">
        <v>2</v>
      </c>
    </row>
    <row r="156" spans="1:18">
      <c r="A156" t="s">
        <v>569</v>
      </c>
      <c r="B156" t="s">
        <v>570</v>
      </c>
      <c r="C156" t="s">
        <v>159</v>
      </c>
      <c r="D156" t="s">
        <v>164</v>
      </c>
      <c r="E156" t="s">
        <v>150</v>
      </c>
      <c r="F156" t="s">
        <v>151</v>
      </c>
      <c r="G156" t="s">
        <v>37</v>
      </c>
      <c r="H156">
        <v>5</v>
      </c>
      <c r="I156">
        <v>249.99</v>
      </c>
      <c r="J156" t="s">
        <v>38</v>
      </c>
      <c r="K156" t="s">
        <v>26</v>
      </c>
      <c r="L156" t="s">
        <v>59</v>
      </c>
      <c r="M156" t="s">
        <v>560</v>
      </c>
      <c r="N156">
        <v>1249.95</v>
      </c>
      <c r="O156" t="s">
        <v>29</v>
      </c>
      <c r="P156" t="s">
        <v>68</v>
      </c>
      <c r="Q156">
        <v>2024</v>
      </c>
      <c r="R156">
        <v>3</v>
      </c>
    </row>
    <row r="157" spans="1:18">
      <c r="A157" t="s">
        <v>571</v>
      </c>
      <c r="B157" t="s">
        <v>572</v>
      </c>
      <c r="C157" t="s">
        <v>401</v>
      </c>
      <c r="D157" t="s">
        <v>100</v>
      </c>
      <c r="E157" t="s">
        <v>135</v>
      </c>
      <c r="F157" t="s">
        <v>136</v>
      </c>
      <c r="G157" t="s">
        <v>24</v>
      </c>
      <c r="H157">
        <v>3</v>
      </c>
      <c r="I157">
        <v>299.99</v>
      </c>
      <c r="J157" t="s">
        <v>25</v>
      </c>
      <c r="K157" t="s">
        <v>79</v>
      </c>
      <c r="L157" t="s">
        <v>40</v>
      </c>
      <c r="M157" t="s">
        <v>448</v>
      </c>
      <c r="N157">
        <v>899.97</v>
      </c>
      <c r="O157" t="s">
        <v>29</v>
      </c>
      <c r="P157" t="s">
        <v>106</v>
      </c>
      <c r="Q157">
        <v>2025</v>
      </c>
      <c r="R157">
        <v>4</v>
      </c>
    </row>
    <row r="158" spans="1:18">
      <c r="A158" t="s">
        <v>573</v>
      </c>
      <c r="B158" t="s">
        <v>574</v>
      </c>
      <c r="C158" t="s">
        <v>331</v>
      </c>
      <c r="D158" t="s">
        <v>172</v>
      </c>
      <c r="E158" t="s">
        <v>65</v>
      </c>
      <c r="F158" t="s">
        <v>66</v>
      </c>
      <c r="G158" t="s">
        <v>37</v>
      </c>
      <c r="H158">
        <v>5</v>
      </c>
      <c r="I158">
        <v>149.99</v>
      </c>
      <c r="J158" t="s">
        <v>78</v>
      </c>
      <c r="K158" t="s">
        <v>50</v>
      </c>
      <c r="L158" t="s">
        <v>27</v>
      </c>
      <c r="M158" t="s">
        <v>575</v>
      </c>
      <c r="N158">
        <v>749.95</v>
      </c>
      <c r="O158" t="s">
        <v>29</v>
      </c>
      <c r="P158" t="s">
        <v>112</v>
      </c>
      <c r="Q158">
        <v>2024</v>
      </c>
      <c r="R158">
        <v>3</v>
      </c>
    </row>
    <row r="159" spans="1:18">
      <c r="A159" t="s">
        <v>576</v>
      </c>
      <c r="B159" t="s">
        <v>577</v>
      </c>
      <c r="C159" t="s">
        <v>163</v>
      </c>
      <c r="D159" t="s">
        <v>253</v>
      </c>
      <c r="E159" t="s">
        <v>22</v>
      </c>
      <c r="F159" t="s">
        <v>23</v>
      </c>
      <c r="G159" t="s">
        <v>24</v>
      </c>
      <c r="H159">
        <v>1</v>
      </c>
      <c r="I159">
        <v>199.99</v>
      </c>
      <c r="J159" t="s">
        <v>38</v>
      </c>
      <c r="K159" t="s">
        <v>79</v>
      </c>
      <c r="L159" t="s">
        <v>27</v>
      </c>
      <c r="M159" t="s">
        <v>578</v>
      </c>
      <c r="N159">
        <v>199.99</v>
      </c>
      <c r="O159" t="s">
        <v>29</v>
      </c>
      <c r="P159" t="s">
        <v>298</v>
      </c>
      <c r="Q159">
        <v>2024</v>
      </c>
      <c r="R159">
        <v>4</v>
      </c>
    </row>
    <row r="160" spans="1:18">
      <c r="A160" t="s">
        <v>579</v>
      </c>
      <c r="B160" t="s">
        <v>580</v>
      </c>
      <c r="C160" t="s">
        <v>55</v>
      </c>
      <c r="D160" t="s">
        <v>231</v>
      </c>
      <c r="E160" t="s">
        <v>22</v>
      </c>
      <c r="F160" t="s">
        <v>23</v>
      </c>
      <c r="G160" t="s">
        <v>24</v>
      </c>
      <c r="H160">
        <v>1</v>
      </c>
      <c r="I160">
        <v>199.99</v>
      </c>
      <c r="J160" t="s">
        <v>25</v>
      </c>
      <c r="K160" t="s">
        <v>39</v>
      </c>
      <c r="L160" t="s">
        <v>40</v>
      </c>
      <c r="M160" t="s">
        <v>581</v>
      </c>
      <c r="N160">
        <v>199.99</v>
      </c>
      <c r="O160" t="s">
        <v>29</v>
      </c>
      <c r="P160" t="s">
        <v>68</v>
      </c>
      <c r="Q160">
        <v>2024</v>
      </c>
      <c r="R160">
        <v>2</v>
      </c>
    </row>
    <row r="161" spans="1:18">
      <c r="A161" t="s">
        <v>582</v>
      </c>
      <c r="B161" t="s">
        <v>583</v>
      </c>
      <c r="C161" t="s">
        <v>425</v>
      </c>
      <c r="D161" t="s">
        <v>243</v>
      </c>
      <c r="E161" t="s">
        <v>35</v>
      </c>
      <c r="F161" t="s">
        <v>36</v>
      </c>
      <c r="G161" t="s">
        <v>37</v>
      </c>
      <c r="H161">
        <v>5</v>
      </c>
      <c r="I161">
        <v>899.99</v>
      </c>
      <c r="J161" t="s">
        <v>78</v>
      </c>
      <c r="K161" t="s">
        <v>50</v>
      </c>
      <c r="L161" t="s">
        <v>40</v>
      </c>
      <c r="M161" t="s">
        <v>584</v>
      </c>
      <c r="N161">
        <v>4499.95</v>
      </c>
      <c r="O161" t="s">
        <v>29</v>
      </c>
      <c r="P161" t="s">
        <v>30</v>
      </c>
      <c r="Q161">
        <v>2024</v>
      </c>
      <c r="R161">
        <v>3</v>
      </c>
    </row>
    <row r="162" spans="1:18">
      <c r="A162" t="s">
        <v>585</v>
      </c>
      <c r="B162" t="s">
        <v>370</v>
      </c>
      <c r="C162" t="s">
        <v>405</v>
      </c>
      <c r="D162" t="s">
        <v>179</v>
      </c>
      <c r="E162" t="s">
        <v>135</v>
      </c>
      <c r="F162" t="s">
        <v>136</v>
      </c>
      <c r="G162" t="s">
        <v>24</v>
      </c>
      <c r="H162">
        <v>5</v>
      </c>
      <c r="I162">
        <v>299.99</v>
      </c>
      <c r="J162" t="s">
        <v>38</v>
      </c>
      <c r="K162" t="s">
        <v>137</v>
      </c>
      <c r="L162" t="s">
        <v>40</v>
      </c>
      <c r="M162" t="s">
        <v>586</v>
      </c>
      <c r="N162">
        <v>1499.95</v>
      </c>
      <c r="O162" t="s">
        <v>29</v>
      </c>
      <c r="P162" t="s">
        <v>88</v>
      </c>
      <c r="Q162">
        <v>2024</v>
      </c>
      <c r="R162">
        <v>4</v>
      </c>
    </row>
    <row r="163" spans="1:18">
      <c r="A163" t="s">
        <v>587</v>
      </c>
      <c r="B163" t="s">
        <v>327</v>
      </c>
      <c r="C163" t="s">
        <v>425</v>
      </c>
      <c r="D163" t="s">
        <v>340</v>
      </c>
      <c r="E163" t="s">
        <v>35</v>
      </c>
      <c r="F163" t="s">
        <v>36</v>
      </c>
      <c r="G163" t="s">
        <v>37</v>
      </c>
      <c r="H163">
        <v>2</v>
      </c>
      <c r="I163">
        <v>899.99</v>
      </c>
      <c r="J163" t="s">
        <v>49</v>
      </c>
      <c r="K163" t="s">
        <v>26</v>
      </c>
      <c r="L163" t="s">
        <v>59</v>
      </c>
      <c r="M163" t="s">
        <v>588</v>
      </c>
      <c r="N163">
        <v>1799.98</v>
      </c>
      <c r="O163" t="s">
        <v>29</v>
      </c>
      <c r="P163" t="s">
        <v>68</v>
      </c>
      <c r="Q163">
        <v>2024</v>
      </c>
      <c r="R163">
        <v>2</v>
      </c>
    </row>
    <row r="164" spans="1:18">
      <c r="A164" t="s">
        <v>589</v>
      </c>
      <c r="B164" t="s">
        <v>590</v>
      </c>
      <c r="C164" t="s">
        <v>591</v>
      </c>
      <c r="D164" t="s">
        <v>231</v>
      </c>
      <c r="E164" t="s">
        <v>93</v>
      </c>
      <c r="F164" t="s">
        <v>94</v>
      </c>
      <c r="G164" t="s">
        <v>95</v>
      </c>
      <c r="H164">
        <v>1</v>
      </c>
      <c r="I164">
        <v>59.99</v>
      </c>
      <c r="J164" t="s">
        <v>38</v>
      </c>
      <c r="K164" t="s">
        <v>50</v>
      </c>
      <c r="L164" t="s">
        <v>27</v>
      </c>
      <c r="M164" t="s">
        <v>592</v>
      </c>
      <c r="N164">
        <v>59.99</v>
      </c>
      <c r="O164" t="s">
        <v>29</v>
      </c>
      <c r="P164" t="s">
        <v>112</v>
      </c>
      <c r="Q164">
        <v>2024</v>
      </c>
      <c r="R164">
        <v>2</v>
      </c>
    </row>
    <row r="165" spans="1:18">
      <c r="A165" t="s">
        <v>593</v>
      </c>
      <c r="B165" t="s">
        <v>453</v>
      </c>
      <c r="C165" t="s">
        <v>272</v>
      </c>
      <c r="D165" t="s">
        <v>56</v>
      </c>
      <c r="E165" t="s">
        <v>85</v>
      </c>
      <c r="F165" t="s">
        <v>86</v>
      </c>
      <c r="G165" t="s">
        <v>24</v>
      </c>
      <c r="H165">
        <v>2</v>
      </c>
      <c r="I165">
        <v>149.99</v>
      </c>
      <c r="J165" t="s">
        <v>25</v>
      </c>
      <c r="K165" t="s">
        <v>79</v>
      </c>
      <c r="L165" t="s">
        <v>40</v>
      </c>
      <c r="M165" t="s">
        <v>594</v>
      </c>
      <c r="N165">
        <v>299.98</v>
      </c>
      <c r="O165" t="s">
        <v>29</v>
      </c>
      <c r="P165" t="s">
        <v>42</v>
      </c>
      <c r="Q165">
        <v>2024</v>
      </c>
      <c r="R165">
        <v>5</v>
      </c>
    </row>
    <row r="166" spans="1:18">
      <c r="A166" t="s">
        <v>595</v>
      </c>
      <c r="B166" t="s">
        <v>596</v>
      </c>
      <c r="C166" t="s">
        <v>415</v>
      </c>
      <c r="D166" t="s">
        <v>231</v>
      </c>
      <c r="E166" t="s">
        <v>126</v>
      </c>
      <c r="F166" t="s">
        <v>127</v>
      </c>
      <c r="G166" t="s">
        <v>95</v>
      </c>
      <c r="H166">
        <v>2</v>
      </c>
      <c r="I166">
        <v>79.99</v>
      </c>
      <c r="J166" t="s">
        <v>49</v>
      </c>
      <c r="K166" t="s">
        <v>137</v>
      </c>
      <c r="L166" t="s">
        <v>59</v>
      </c>
      <c r="M166" t="s">
        <v>597</v>
      </c>
      <c r="N166">
        <v>159.98</v>
      </c>
      <c r="O166" t="s">
        <v>29</v>
      </c>
      <c r="P166" t="s">
        <v>112</v>
      </c>
      <c r="Q166">
        <v>2024</v>
      </c>
      <c r="R166">
        <v>4</v>
      </c>
    </row>
    <row r="167" spans="1:18">
      <c r="A167" t="s">
        <v>598</v>
      </c>
      <c r="B167" t="s">
        <v>599</v>
      </c>
      <c r="C167" t="s">
        <v>600</v>
      </c>
      <c r="D167" t="s">
        <v>164</v>
      </c>
      <c r="E167" t="s">
        <v>126</v>
      </c>
      <c r="F167" t="s">
        <v>127</v>
      </c>
      <c r="G167" t="s">
        <v>95</v>
      </c>
      <c r="H167">
        <v>5</v>
      </c>
      <c r="I167">
        <v>79.99</v>
      </c>
      <c r="J167" t="s">
        <v>38</v>
      </c>
      <c r="K167" t="s">
        <v>50</v>
      </c>
      <c r="L167" t="s">
        <v>40</v>
      </c>
      <c r="M167" t="s">
        <v>601</v>
      </c>
      <c r="N167">
        <v>399.95</v>
      </c>
      <c r="O167" t="s">
        <v>29</v>
      </c>
      <c r="P167" t="s">
        <v>122</v>
      </c>
      <c r="Q167">
        <v>2025</v>
      </c>
      <c r="R167">
        <v>2</v>
      </c>
    </row>
    <row r="168" spans="1:18">
      <c r="A168" t="s">
        <v>602</v>
      </c>
      <c r="B168" t="s">
        <v>470</v>
      </c>
      <c r="C168" t="s">
        <v>307</v>
      </c>
      <c r="D168" t="s">
        <v>56</v>
      </c>
      <c r="E168" t="s">
        <v>150</v>
      </c>
      <c r="F168" t="s">
        <v>151</v>
      </c>
      <c r="G168" t="s">
        <v>37</v>
      </c>
      <c r="H168">
        <v>3</v>
      </c>
      <c r="I168">
        <v>249.99</v>
      </c>
      <c r="J168" t="s">
        <v>38</v>
      </c>
      <c r="K168" t="s">
        <v>50</v>
      </c>
      <c r="L168" t="s">
        <v>40</v>
      </c>
      <c r="M168" t="s">
        <v>603</v>
      </c>
      <c r="N168">
        <v>749.97</v>
      </c>
      <c r="O168" t="s">
        <v>29</v>
      </c>
      <c r="P168" t="s">
        <v>112</v>
      </c>
      <c r="Q168">
        <v>2024</v>
      </c>
      <c r="R168">
        <v>3</v>
      </c>
    </row>
    <row r="169" spans="1:18">
      <c r="A169" t="s">
        <v>604</v>
      </c>
      <c r="B169" t="s">
        <v>474</v>
      </c>
      <c r="C169" t="s">
        <v>171</v>
      </c>
      <c r="D169" t="s">
        <v>164</v>
      </c>
      <c r="E169" t="s">
        <v>135</v>
      </c>
      <c r="F169" t="s">
        <v>136</v>
      </c>
      <c r="G169" t="s">
        <v>24</v>
      </c>
      <c r="H169">
        <v>4</v>
      </c>
      <c r="I169">
        <v>299.99</v>
      </c>
      <c r="J169" t="s">
        <v>38</v>
      </c>
      <c r="K169" t="s">
        <v>137</v>
      </c>
      <c r="L169" t="s">
        <v>40</v>
      </c>
      <c r="M169" t="s">
        <v>605</v>
      </c>
      <c r="N169">
        <v>1199.96</v>
      </c>
      <c r="O169" t="s">
        <v>29</v>
      </c>
      <c r="P169" t="s">
        <v>81</v>
      </c>
      <c r="Q169">
        <v>2024</v>
      </c>
      <c r="R169">
        <v>4</v>
      </c>
    </row>
    <row r="170" spans="1:18">
      <c r="A170" t="s">
        <v>606</v>
      </c>
      <c r="B170" t="s">
        <v>607</v>
      </c>
      <c r="C170" t="s">
        <v>501</v>
      </c>
      <c r="D170" t="s">
        <v>100</v>
      </c>
      <c r="E170" t="s">
        <v>47</v>
      </c>
      <c r="F170" t="s">
        <v>48</v>
      </c>
      <c r="G170" t="s">
        <v>37</v>
      </c>
      <c r="H170">
        <v>3</v>
      </c>
      <c r="I170">
        <v>699.99</v>
      </c>
      <c r="J170" t="s">
        <v>78</v>
      </c>
      <c r="K170" t="s">
        <v>39</v>
      </c>
      <c r="L170" t="s">
        <v>59</v>
      </c>
      <c r="M170" t="s">
        <v>608</v>
      </c>
      <c r="N170">
        <v>2099.97</v>
      </c>
      <c r="O170" t="s">
        <v>29</v>
      </c>
      <c r="P170" t="s">
        <v>185</v>
      </c>
      <c r="Q170">
        <v>2024</v>
      </c>
      <c r="R170">
        <v>5</v>
      </c>
    </row>
    <row r="171" spans="1:18">
      <c r="A171" t="s">
        <v>609</v>
      </c>
      <c r="B171" t="s">
        <v>610</v>
      </c>
      <c r="C171" t="s">
        <v>141</v>
      </c>
      <c r="D171" t="s">
        <v>164</v>
      </c>
      <c r="E171" t="s">
        <v>150</v>
      </c>
      <c r="F171" t="s">
        <v>151</v>
      </c>
      <c r="G171" t="s">
        <v>37</v>
      </c>
      <c r="H171">
        <v>4</v>
      </c>
      <c r="I171">
        <v>249.99</v>
      </c>
      <c r="J171" t="s">
        <v>49</v>
      </c>
      <c r="K171" t="s">
        <v>39</v>
      </c>
      <c r="L171" t="s">
        <v>27</v>
      </c>
      <c r="M171" t="s">
        <v>611</v>
      </c>
      <c r="N171">
        <v>999.96</v>
      </c>
      <c r="O171" t="s">
        <v>29</v>
      </c>
      <c r="P171" t="s">
        <v>106</v>
      </c>
      <c r="Q171">
        <v>2025</v>
      </c>
      <c r="R171">
        <v>3</v>
      </c>
    </row>
    <row r="172" spans="1:18">
      <c r="A172" t="s">
        <v>612</v>
      </c>
      <c r="B172" t="s">
        <v>428</v>
      </c>
      <c r="C172" t="s">
        <v>171</v>
      </c>
      <c r="D172" t="s">
        <v>197</v>
      </c>
      <c r="E172" t="s">
        <v>35</v>
      </c>
      <c r="F172" t="s">
        <v>36</v>
      </c>
      <c r="G172" t="s">
        <v>37</v>
      </c>
      <c r="H172">
        <v>2</v>
      </c>
      <c r="I172">
        <v>899.99</v>
      </c>
      <c r="J172" t="s">
        <v>49</v>
      </c>
      <c r="K172" t="s">
        <v>26</v>
      </c>
      <c r="L172" t="s">
        <v>40</v>
      </c>
      <c r="M172" t="s">
        <v>613</v>
      </c>
      <c r="N172">
        <v>1799.98</v>
      </c>
      <c r="O172" t="s">
        <v>29</v>
      </c>
      <c r="P172" t="s">
        <v>185</v>
      </c>
      <c r="Q172">
        <v>2024</v>
      </c>
      <c r="R172">
        <v>4</v>
      </c>
    </row>
    <row r="173" spans="1:18">
      <c r="A173" t="s">
        <v>614</v>
      </c>
      <c r="B173" t="s">
        <v>615</v>
      </c>
      <c r="C173" t="s">
        <v>467</v>
      </c>
      <c r="D173" t="s">
        <v>277</v>
      </c>
      <c r="E173" t="s">
        <v>135</v>
      </c>
      <c r="F173" t="s">
        <v>136</v>
      </c>
      <c r="G173" t="s">
        <v>24</v>
      </c>
      <c r="H173">
        <v>3</v>
      </c>
      <c r="I173">
        <v>299.99</v>
      </c>
      <c r="J173" t="s">
        <v>38</v>
      </c>
      <c r="K173" t="s">
        <v>79</v>
      </c>
      <c r="L173" t="s">
        <v>27</v>
      </c>
      <c r="M173" t="s">
        <v>402</v>
      </c>
      <c r="N173">
        <v>899.97</v>
      </c>
      <c r="O173" t="s">
        <v>29</v>
      </c>
      <c r="P173" t="s">
        <v>122</v>
      </c>
      <c r="Q173">
        <v>2025</v>
      </c>
      <c r="R173">
        <v>4</v>
      </c>
    </row>
    <row r="174" spans="1:18">
      <c r="A174" t="s">
        <v>616</v>
      </c>
      <c r="B174" t="s">
        <v>424</v>
      </c>
      <c r="C174" t="s">
        <v>45</v>
      </c>
      <c r="D174" t="s">
        <v>273</v>
      </c>
      <c r="E174" t="s">
        <v>35</v>
      </c>
      <c r="F174" t="s">
        <v>36</v>
      </c>
      <c r="G174" t="s">
        <v>37</v>
      </c>
      <c r="H174">
        <v>1</v>
      </c>
      <c r="I174">
        <v>899.99</v>
      </c>
      <c r="J174" t="s">
        <v>78</v>
      </c>
      <c r="K174" t="s">
        <v>137</v>
      </c>
      <c r="L174" t="s">
        <v>59</v>
      </c>
      <c r="M174" t="s">
        <v>617</v>
      </c>
      <c r="N174">
        <v>899.99</v>
      </c>
      <c r="O174" t="s">
        <v>29</v>
      </c>
      <c r="P174" t="s">
        <v>52</v>
      </c>
      <c r="Q174">
        <v>2024</v>
      </c>
      <c r="R174">
        <v>4</v>
      </c>
    </row>
    <row r="175" spans="1:18">
      <c r="A175" t="s">
        <v>618</v>
      </c>
      <c r="B175" t="s">
        <v>619</v>
      </c>
      <c r="C175" t="s">
        <v>155</v>
      </c>
      <c r="D175" t="s">
        <v>134</v>
      </c>
      <c r="E175" t="s">
        <v>57</v>
      </c>
      <c r="F175" t="s">
        <v>58</v>
      </c>
      <c r="G175" t="s">
        <v>37</v>
      </c>
      <c r="H175">
        <v>5</v>
      </c>
      <c r="I175">
        <v>89.99</v>
      </c>
      <c r="J175" t="s">
        <v>25</v>
      </c>
      <c r="K175" t="s">
        <v>39</v>
      </c>
      <c r="L175" t="s">
        <v>40</v>
      </c>
      <c r="M175" t="s">
        <v>620</v>
      </c>
      <c r="N175">
        <v>449.95</v>
      </c>
      <c r="O175" t="s">
        <v>29</v>
      </c>
      <c r="P175" t="s">
        <v>112</v>
      </c>
      <c r="Q175">
        <v>2024</v>
      </c>
      <c r="R175">
        <v>2</v>
      </c>
    </row>
    <row r="176" spans="1:18">
      <c r="A176" t="s">
        <v>621</v>
      </c>
      <c r="B176" t="s">
        <v>260</v>
      </c>
      <c r="C176" t="s">
        <v>163</v>
      </c>
      <c r="D176" t="s">
        <v>72</v>
      </c>
      <c r="E176" t="s">
        <v>47</v>
      </c>
      <c r="F176" t="s">
        <v>48</v>
      </c>
      <c r="G176" t="s">
        <v>37</v>
      </c>
      <c r="H176">
        <v>5</v>
      </c>
      <c r="I176">
        <v>699.99</v>
      </c>
      <c r="J176" t="s">
        <v>25</v>
      </c>
      <c r="K176" t="s">
        <v>39</v>
      </c>
      <c r="L176" t="s">
        <v>40</v>
      </c>
      <c r="M176" t="s">
        <v>622</v>
      </c>
      <c r="N176">
        <v>3499.95</v>
      </c>
      <c r="O176" t="s">
        <v>29</v>
      </c>
      <c r="P176" t="s">
        <v>42</v>
      </c>
      <c r="Q176">
        <v>2024</v>
      </c>
      <c r="R176">
        <v>3</v>
      </c>
    </row>
    <row r="177" spans="1:18">
      <c r="A177" t="s">
        <v>623</v>
      </c>
      <c r="B177" t="s">
        <v>624</v>
      </c>
      <c r="C177" t="s">
        <v>20</v>
      </c>
      <c r="D177" t="s">
        <v>226</v>
      </c>
      <c r="E177" t="s">
        <v>65</v>
      </c>
      <c r="F177" t="s">
        <v>66</v>
      </c>
      <c r="G177" t="s">
        <v>37</v>
      </c>
      <c r="H177">
        <v>1</v>
      </c>
      <c r="I177">
        <v>149.99</v>
      </c>
      <c r="J177" t="s">
        <v>78</v>
      </c>
      <c r="K177" t="s">
        <v>137</v>
      </c>
      <c r="L177" t="s">
        <v>27</v>
      </c>
      <c r="M177" t="s">
        <v>347</v>
      </c>
      <c r="N177">
        <v>149.99</v>
      </c>
      <c r="O177" t="s">
        <v>29</v>
      </c>
      <c r="P177" t="s">
        <v>112</v>
      </c>
      <c r="Q177">
        <v>2024</v>
      </c>
      <c r="R177">
        <v>5</v>
      </c>
    </row>
    <row r="178" spans="1:18">
      <c r="A178" t="s">
        <v>625</v>
      </c>
      <c r="B178" t="s">
        <v>300</v>
      </c>
      <c r="C178" t="s">
        <v>405</v>
      </c>
      <c r="D178" t="s">
        <v>197</v>
      </c>
      <c r="E178" t="s">
        <v>47</v>
      </c>
      <c r="F178" t="s">
        <v>48</v>
      </c>
      <c r="G178" t="s">
        <v>37</v>
      </c>
      <c r="H178">
        <v>4</v>
      </c>
      <c r="I178">
        <v>699.99</v>
      </c>
      <c r="J178" t="s">
        <v>25</v>
      </c>
      <c r="K178" t="s">
        <v>39</v>
      </c>
      <c r="L178" t="s">
        <v>40</v>
      </c>
      <c r="M178" t="s">
        <v>626</v>
      </c>
      <c r="N178">
        <v>2799.96</v>
      </c>
      <c r="O178" t="s">
        <v>29</v>
      </c>
      <c r="P178" t="s">
        <v>68</v>
      </c>
      <c r="Q178">
        <v>2024</v>
      </c>
      <c r="R178">
        <v>3</v>
      </c>
    </row>
    <row r="179" spans="1:18">
      <c r="A179" t="s">
        <v>627</v>
      </c>
      <c r="B179" t="s">
        <v>246</v>
      </c>
      <c r="C179" t="s">
        <v>146</v>
      </c>
      <c r="D179" t="s">
        <v>46</v>
      </c>
      <c r="E179" t="s">
        <v>47</v>
      </c>
      <c r="F179" t="s">
        <v>48</v>
      </c>
      <c r="G179" t="s">
        <v>37</v>
      </c>
      <c r="H179">
        <v>3</v>
      </c>
      <c r="I179">
        <v>699.99</v>
      </c>
      <c r="J179" t="s">
        <v>49</v>
      </c>
      <c r="K179" t="s">
        <v>26</v>
      </c>
      <c r="L179" t="s">
        <v>59</v>
      </c>
      <c r="M179" t="s">
        <v>628</v>
      </c>
      <c r="N179">
        <v>2099.97</v>
      </c>
      <c r="O179" t="s">
        <v>29</v>
      </c>
      <c r="P179" t="s">
        <v>81</v>
      </c>
      <c r="Q179">
        <v>2024</v>
      </c>
      <c r="R179">
        <v>4</v>
      </c>
    </row>
    <row r="180" spans="1:18">
      <c r="A180" t="s">
        <v>629</v>
      </c>
      <c r="B180" t="s">
        <v>428</v>
      </c>
      <c r="C180" t="s">
        <v>591</v>
      </c>
      <c r="D180" t="s">
        <v>172</v>
      </c>
      <c r="E180" t="s">
        <v>22</v>
      </c>
      <c r="F180" t="s">
        <v>23</v>
      </c>
      <c r="G180" t="s">
        <v>24</v>
      </c>
      <c r="H180">
        <v>4</v>
      </c>
      <c r="I180">
        <v>199.99</v>
      </c>
      <c r="J180" t="s">
        <v>78</v>
      </c>
      <c r="K180" t="s">
        <v>39</v>
      </c>
      <c r="L180" t="s">
        <v>27</v>
      </c>
      <c r="M180" t="s">
        <v>630</v>
      </c>
      <c r="N180">
        <v>799.96</v>
      </c>
      <c r="O180" t="s">
        <v>29</v>
      </c>
      <c r="P180" t="s">
        <v>185</v>
      </c>
      <c r="Q180">
        <v>2024</v>
      </c>
      <c r="R180">
        <v>5</v>
      </c>
    </row>
    <row r="181" spans="1:18">
      <c r="A181" t="s">
        <v>631</v>
      </c>
      <c r="B181" t="s">
        <v>632</v>
      </c>
      <c r="C181" t="s">
        <v>230</v>
      </c>
      <c r="D181" t="s">
        <v>226</v>
      </c>
      <c r="E181" t="s">
        <v>22</v>
      </c>
      <c r="F181" t="s">
        <v>23</v>
      </c>
      <c r="G181" t="s">
        <v>24</v>
      </c>
      <c r="H181">
        <v>3</v>
      </c>
      <c r="I181">
        <v>199.99</v>
      </c>
      <c r="J181" t="s">
        <v>78</v>
      </c>
      <c r="K181" t="s">
        <v>50</v>
      </c>
      <c r="L181" t="s">
        <v>27</v>
      </c>
      <c r="M181" t="s">
        <v>633</v>
      </c>
      <c r="N181">
        <v>599.97</v>
      </c>
      <c r="O181" t="s">
        <v>29</v>
      </c>
      <c r="P181" t="s">
        <v>122</v>
      </c>
      <c r="Q181">
        <v>2025</v>
      </c>
      <c r="R181">
        <v>2</v>
      </c>
    </row>
    <row r="182" spans="1:18">
      <c r="A182" t="s">
        <v>634</v>
      </c>
      <c r="B182" t="s">
        <v>334</v>
      </c>
      <c r="C182" t="s">
        <v>331</v>
      </c>
      <c r="D182" t="s">
        <v>77</v>
      </c>
      <c r="E182" t="s">
        <v>35</v>
      </c>
      <c r="F182" t="s">
        <v>36</v>
      </c>
      <c r="G182" t="s">
        <v>37</v>
      </c>
      <c r="H182">
        <v>4</v>
      </c>
      <c r="I182">
        <v>899.99</v>
      </c>
      <c r="J182" t="s">
        <v>25</v>
      </c>
      <c r="K182" t="s">
        <v>26</v>
      </c>
      <c r="L182" t="s">
        <v>59</v>
      </c>
      <c r="M182" t="s">
        <v>635</v>
      </c>
      <c r="N182">
        <v>3599.96</v>
      </c>
      <c r="O182" t="s">
        <v>29</v>
      </c>
      <c r="P182" t="s">
        <v>298</v>
      </c>
      <c r="Q182">
        <v>2024</v>
      </c>
      <c r="R182">
        <v>2</v>
      </c>
    </row>
    <row r="183" spans="1:18">
      <c r="A183" t="s">
        <v>636</v>
      </c>
      <c r="B183" t="s">
        <v>145</v>
      </c>
      <c r="C183" t="s">
        <v>115</v>
      </c>
      <c r="D183" t="s">
        <v>226</v>
      </c>
      <c r="E183" t="s">
        <v>35</v>
      </c>
      <c r="F183" t="s">
        <v>36</v>
      </c>
      <c r="G183" t="s">
        <v>37</v>
      </c>
      <c r="H183">
        <v>5</v>
      </c>
      <c r="I183">
        <v>899.99</v>
      </c>
      <c r="J183" t="s">
        <v>25</v>
      </c>
      <c r="K183" t="s">
        <v>50</v>
      </c>
      <c r="L183" t="s">
        <v>59</v>
      </c>
      <c r="M183" t="s">
        <v>637</v>
      </c>
      <c r="N183">
        <v>4499.95</v>
      </c>
      <c r="O183" t="s">
        <v>29</v>
      </c>
      <c r="P183" t="s">
        <v>106</v>
      </c>
      <c r="Q183">
        <v>2025</v>
      </c>
      <c r="R183">
        <v>4</v>
      </c>
    </row>
    <row r="184" spans="1:18">
      <c r="A184" t="s">
        <v>638</v>
      </c>
      <c r="B184" t="s">
        <v>421</v>
      </c>
      <c r="C184" t="s">
        <v>213</v>
      </c>
      <c r="D184" t="s">
        <v>253</v>
      </c>
      <c r="E184" t="s">
        <v>65</v>
      </c>
      <c r="F184" t="s">
        <v>66</v>
      </c>
      <c r="G184" t="s">
        <v>37</v>
      </c>
      <c r="H184">
        <v>4</v>
      </c>
      <c r="I184">
        <v>149.99</v>
      </c>
      <c r="J184" t="s">
        <v>25</v>
      </c>
      <c r="K184" t="s">
        <v>39</v>
      </c>
      <c r="L184" t="s">
        <v>59</v>
      </c>
      <c r="M184" t="s">
        <v>639</v>
      </c>
      <c r="N184">
        <v>599.96</v>
      </c>
      <c r="O184" t="s">
        <v>29</v>
      </c>
      <c r="P184" t="s">
        <v>298</v>
      </c>
      <c r="Q184">
        <v>2024</v>
      </c>
      <c r="R184">
        <v>2</v>
      </c>
    </row>
    <row r="185" spans="1:18">
      <c r="A185" t="s">
        <v>640</v>
      </c>
      <c r="B185" t="s">
        <v>641</v>
      </c>
      <c r="C185" t="s">
        <v>120</v>
      </c>
      <c r="D185" t="s">
        <v>217</v>
      </c>
      <c r="E185" t="s">
        <v>85</v>
      </c>
      <c r="F185" t="s">
        <v>86</v>
      </c>
      <c r="G185" t="s">
        <v>24</v>
      </c>
      <c r="H185">
        <v>1</v>
      </c>
      <c r="I185">
        <v>149.99</v>
      </c>
      <c r="J185" t="s">
        <v>78</v>
      </c>
      <c r="K185" t="s">
        <v>50</v>
      </c>
      <c r="L185" t="s">
        <v>59</v>
      </c>
      <c r="M185" t="s">
        <v>642</v>
      </c>
      <c r="N185">
        <v>149.99</v>
      </c>
      <c r="O185" t="s">
        <v>29</v>
      </c>
      <c r="P185" t="s">
        <v>81</v>
      </c>
      <c r="Q185">
        <v>2024</v>
      </c>
      <c r="R185">
        <v>4</v>
      </c>
    </row>
    <row r="186" spans="1:18">
      <c r="A186" t="s">
        <v>643</v>
      </c>
      <c r="B186" t="s">
        <v>644</v>
      </c>
      <c r="C186" t="s">
        <v>353</v>
      </c>
      <c r="D186" t="s">
        <v>257</v>
      </c>
      <c r="E186" t="s">
        <v>57</v>
      </c>
      <c r="F186" t="s">
        <v>58</v>
      </c>
      <c r="G186" t="s">
        <v>37</v>
      </c>
      <c r="H186">
        <v>2</v>
      </c>
      <c r="I186">
        <v>89.99</v>
      </c>
      <c r="J186" t="s">
        <v>38</v>
      </c>
      <c r="K186" t="s">
        <v>137</v>
      </c>
      <c r="L186" t="s">
        <v>40</v>
      </c>
      <c r="M186" t="s">
        <v>645</v>
      </c>
      <c r="N186">
        <v>179.98</v>
      </c>
      <c r="O186" t="s">
        <v>29</v>
      </c>
      <c r="P186" t="s">
        <v>88</v>
      </c>
      <c r="Q186">
        <v>2024</v>
      </c>
      <c r="R186">
        <v>4</v>
      </c>
    </row>
    <row r="187" spans="1:18">
      <c r="A187" t="s">
        <v>646</v>
      </c>
      <c r="B187" t="s">
        <v>647</v>
      </c>
      <c r="C187" t="s">
        <v>307</v>
      </c>
      <c r="D187" t="s">
        <v>100</v>
      </c>
      <c r="E187" t="s">
        <v>47</v>
      </c>
      <c r="F187" t="s">
        <v>48</v>
      </c>
      <c r="G187" t="s">
        <v>37</v>
      </c>
      <c r="H187">
        <v>4</v>
      </c>
      <c r="I187">
        <v>699.99</v>
      </c>
      <c r="J187" t="s">
        <v>78</v>
      </c>
      <c r="K187" t="s">
        <v>39</v>
      </c>
      <c r="L187" t="s">
        <v>59</v>
      </c>
      <c r="M187" t="s">
        <v>597</v>
      </c>
      <c r="N187">
        <v>2799.96</v>
      </c>
      <c r="O187" t="s">
        <v>29</v>
      </c>
      <c r="P187" t="s">
        <v>106</v>
      </c>
      <c r="Q187">
        <v>2025</v>
      </c>
      <c r="R187">
        <v>4</v>
      </c>
    </row>
    <row r="188" spans="1:18">
      <c r="A188" t="s">
        <v>648</v>
      </c>
      <c r="B188" t="s">
        <v>649</v>
      </c>
      <c r="C188" t="s">
        <v>401</v>
      </c>
      <c r="D188" t="s">
        <v>197</v>
      </c>
      <c r="E188" t="s">
        <v>135</v>
      </c>
      <c r="F188" t="s">
        <v>136</v>
      </c>
      <c r="G188" t="s">
        <v>24</v>
      </c>
      <c r="H188">
        <v>1</v>
      </c>
      <c r="I188">
        <v>299.99</v>
      </c>
      <c r="J188" t="s">
        <v>78</v>
      </c>
      <c r="K188" t="s">
        <v>26</v>
      </c>
      <c r="L188" t="s">
        <v>59</v>
      </c>
      <c r="M188" t="s">
        <v>650</v>
      </c>
      <c r="N188">
        <v>299.99</v>
      </c>
      <c r="O188" t="s">
        <v>29</v>
      </c>
      <c r="P188" t="s">
        <v>52</v>
      </c>
      <c r="Q188">
        <v>2024</v>
      </c>
      <c r="R188">
        <v>5</v>
      </c>
    </row>
    <row r="189" spans="1:18">
      <c r="A189" t="s">
        <v>651</v>
      </c>
      <c r="B189" t="s">
        <v>206</v>
      </c>
      <c r="C189" t="s">
        <v>307</v>
      </c>
      <c r="D189" t="s">
        <v>257</v>
      </c>
      <c r="E189" t="s">
        <v>150</v>
      </c>
      <c r="F189" t="s">
        <v>151</v>
      </c>
      <c r="G189" t="s">
        <v>37</v>
      </c>
      <c r="H189">
        <v>5</v>
      </c>
      <c r="I189">
        <v>249.99</v>
      </c>
      <c r="J189" t="s">
        <v>38</v>
      </c>
      <c r="K189" t="s">
        <v>137</v>
      </c>
      <c r="L189" t="s">
        <v>27</v>
      </c>
      <c r="M189" t="s">
        <v>652</v>
      </c>
      <c r="N189">
        <v>1249.95</v>
      </c>
      <c r="O189" t="s">
        <v>29</v>
      </c>
      <c r="P189" t="s">
        <v>42</v>
      </c>
      <c r="Q189">
        <v>2024</v>
      </c>
      <c r="R189">
        <v>3</v>
      </c>
    </row>
    <row r="190" spans="1:18">
      <c r="A190" t="s">
        <v>653</v>
      </c>
      <c r="B190" t="s">
        <v>577</v>
      </c>
      <c r="C190" t="s">
        <v>325</v>
      </c>
      <c r="D190" t="s">
        <v>100</v>
      </c>
      <c r="E190" t="s">
        <v>57</v>
      </c>
      <c r="F190" t="s">
        <v>58</v>
      </c>
      <c r="G190" t="s">
        <v>37</v>
      </c>
      <c r="H190">
        <v>5</v>
      </c>
      <c r="I190">
        <v>89.99</v>
      </c>
      <c r="J190" t="s">
        <v>49</v>
      </c>
      <c r="K190" t="s">
        <v>79</v>
      </c>
      <c r="L190" t="s">
        <v>27</v>
      </c>
      <c r="M190" t="s">
        <v>654</v>
      </c>
      <c r="N190">
        <v>449.95</v>
      </c>
      <c r="O190" t="s">
        <v>29</v>
      </c>
      <c r="P190" t="s">
        <v>298</v>
      </c>
      <c r="Q190">
        <v>2024</v>
      </c>
      <c r="R190">
        <v>3</v>
      </c>
    </row>
    <row r="191" spans="1:18">
      <c r="A191" t="s">
        <v>655</v>
      </c>
      <c r="B191" t="s">
        <v>656</v>
      </c>
      <c r="C191" t="s">
        <v>292</v>
      </c>
      <c r="D191" t="s">
        <v>72</v>
      </c>
      <c r="E191" t="s">
        <v>150</v>
      </c>
      <c r="F191" t="s">
        <v>151</v>
      </c>
      <c r="G191" t="s">
        <v>37</v>
      </c>
      <c r="H191">
        <v>3</v>
      </c>
      <c r="I191">
        <v>249.99</v>
      </c>
      <c r="J191" t="s">
        <v>78</v>
      </c>
      <c r="K191" t="s">
        <v>50</v>
      </c>
      <c r="L191" t="s">
        <v>40</v>
      </c>
      <c r="M191" t="s">
        <v>657</v>
      </c>
      <c r="N191">
        <v>749.97</v>
      </c>
      <c r="O191" t="s">
        <v>29</v>
      </c>
      <c r="P191" t="s">
        <v>42</v>
      </c>
      <c r="Q191">
        <v>2024</v>
      </c>
      <c r="R191">
        <v>2</v>
      </c>
    </row>
    <row r="192" spans="1:18">
      <c r="A192" t="s">
        <v>658</v>
      </c>
      <c r="B192" t="s">
        <v>659</v>
      </c>
      <c r="C192" t="s">
        <v>261</v>
      </c>
      <c r="D192" t="s">
        <v>197</v>
      </c>
      <c r="E192" t="s">
        <v>65</v>
      </c>
      <c r="F192" t="s">
        <v>66</v>
      </c>
      <c r="G192" t="s">
        <v>37</v>
      </c>
      <c r="H192">
        <v>3</v>
      </c>
      <c r="I192">
        <v>149.99</v>
      </c>
      <c r="J192" t="s">
        <v>78</v>
      </c>
      <c r="K192" t="s">
        <v>26</v>
      </c>
      <c r="L192" t="s">
        <v>27</v>
      </c>
      <c r="M192" t="s">
        <v>660</v>
      </c>
      <c r="N192">
        <v>449.97</v>
      </c>
      <c r="O192" t="s">
        <v>29</v>
      </c>
      <c r="P192" t="s">
        <v>81</v>
      </c>
      <c r="Q192">
        <v>2024</v>
      </c>
      <c r="R192">
        <v>4</v>
      </c>
    </row>
    <row r="193" spans="1:18">
      <c r="A193" t="s">
        <v>661</v>
      </c>
      <c r="B193" t="s">
        <v>662</v>
      </c>
      <c r="C193" t="s">
        <v>91</v>
      </c>
      <c r="D193" t="s">
        <v>100</v>
      </c>
      <c r="E193" t="s">
        <v>57</v>
      </c>
      <c r="F193" t="s">
        <v>58</v>
      </c>
      <c r="G193" t="s">
        <v>37</v>
      </c>
      <c r="H193">
        <v>2</v>
      </c>
      <c r="I193">
        <v>89.99</v>
      </c>
      <c r="J193" t="s">
        <v>78</v>
      </c>
      <c r="K193" t="s">
        <v>137</v>
      </c>
      <c r="L193" t="s">
        <v>40</v>
      </c>
      <c r="M193" t="s">
        <v>663</v>
      </c>
      <c r="N193">
        <v>179.98</v>
      </c>
      <c r="O193" t="s">
        <v>29</v>
      </c>
      <c r="P193" t="s">
        <v>68</v>
      </c>
      <c r="Q193">
        <v>2024</v>
      </c>
      <c r="R193">
        <v>3</v>
      </c>
    </row>
    <row r="194" spans="1:18">
      <c r="A194" t="s">
        <v>664</v>
      </c>
      <c r="B194" t="s">
        <v>665</v>
      </c>
      <c r="C194" t="s">
        <v>155</v>
      </c>
      <c r="D194" t="s">
        <v>222</v>
      </c>
      <c r="E194" t="s">
        <v>22</v>
      </c>
      <c r="F194" t="s">
        <v>23</v>
      </c>
      <c r="G194" t="s">
        <v>24</v>
      </c>
      <c r="H194">
        <v>2</v>
      </c>
      <c r="I194">
        <v>199.99</v>
      </c>
      <c r="J194" t="s">
        <v>25</v>
      </c>
      <c r="K194" t="s">
        <v>137</v>
      </c>
      <c r="L194" t="s">
        <v>59</v>
      </c>
      <c r="M194" t="s">
        <v>379</v>
      </c>
      <c r="N194">
        <v>399.98</v>
      </c>
      <c r="O194" t="s">
        <v>29</v>
      </c>
      <c r="P194" t="s">
        <v>185</v>
      </c>
      <c r="Q194">
        <v>2024</v>
      </c>
      <c r="R194">
        <v>4</v>
      </c>
    </row>
    <row r="195" spans="1:18">
      <c r="A195" t="s">
        <v>666</v>
      </c>
      <c r="B195" t="s">
        <v>370</v>
      </c>
      <c r="C195" t="s">
        <v>76</v>
      </c>
      <c r="D195" t="s">
        <v>172</v>
      </c>
      <c r="E195" t="s">
        <v>65</v>
      </c>
      <c r="F195" t="s">
        <v>66</v>
      </c>
      <c r="G195" t="s">
        <v>37</v>
      </c>
      <c r="H195">
        <v>2</v>
      </c>
      <c r="I195">
        <v>149.99</v>
      </c>
      <c r="J195" t="s">
        <v>49</v>
      </c>
      <c r="K195" t="s">
        <v>39</v>
      </c>
      <c r="L195" t="s">
        <v>27</v>
      </c>
      <c r="M195" t="s">
        <v>391</v>
      </c>
      <c r="N195">
        <v>299.98</v>
      </c>
      <c r="O195" t="s">
        <v>29</v>
      </c>
      <c r="P195" t="s">
        <v>88</v>
      </c>
      <c r="Q195">
        <v>2024</v>
      </c>
      <c r="R195">
        <v>3</v>
      </c>
    </row>
    <row r="196" spans="1:18">
      <c r="A196" t="s">
        <v>667</v>
      </c>
      <c r="B196" t="s">
        <v>291</v>
      </c>
      <c r="C196" t="s">
        <v>221</v>
      </c>
      <c r="D196" t="s">
        <v>56</v>
      </c>
      <c r="E196" t="s">
        <v>47</v>
      </c>
      <c r="F196" t="s">
        <v>48</v>
      </c>
      <c r="G196" t="s">
        <v>37</v>
      </c>
      <c r="H196">
        <v>3</v>
      </c>
      <c r="I196">
        <v>699.99</v>
      </c>
      <c r="J196" t="s">
        <v>25</v>
      </c>
      <c r="K196" t="s">
        <v>79</v>
      </c>
      <c r="L196" t="s">
        <v>59</v>
      </c>
      <c r="M196" t="s">
        <v>668</v>
      </c>
      <c r="N196">
        <v>2099.97</v>
      </c>
      <c r="O196" t="s">
        <v>29</v>
      </c>
      <c r="P196" t="s">
        <v>42</v>
      </c>
      <c r="Q196">
        <v>2024</v>
      </c>
      <c r="R196">
        <v>3</v>
      </c>
    </row>
    <row r="197" spans="1:18">
      <c r="A197" t="s">
        <v>669</v>
      </c>
      <c r="B197" t="s">
        <v>444</v>
      </c>
      <c r="C197" t="s">
        <v>188</v>
      </c>
      <c r="D197" t="s">
        <v>134</v>
      </c>
      <c r="E197" t="s">
        <v>126</v>
      </c>
      <c r="F197" t="s">
        <v>127</v>
      </c>
      <c r="G197" t="s">
        <v>95</v>
      </c>
      <c r="H197">
        <v>5</v>
      </c>
      <c r="I197">
        <v>79.99</v>
      </c>
      <c r="J197" t="s">
        <v>78</v>
      </c>
      <c r="K197" t="s">
        <v>50</v>
      </c>
      <c r="L197" t="s">
        <v>27</v>
      </c>
      <c r="M197" t="s">
        <v>657</v>
      </c>
      <c r="N197">
        <v>399.95</v>
      </c>
      <c r="O197" t="s">
        <v>29</v>
      </c>
      <c r="P197" t="s">
        <v>88</v>
      </c>
      <c r="Q197">
        <v>2024</v>
      </c>
      <c r="R197">
        <v>2</v>
      </c>
    </row>
    <row r="198" spans="1:18">
      <c r="A198" t="s">
        <v>670</v>
      </c>
      <c r="B198" t="s">
        <v>671</v>
      </c>
      <c r="C198" t="s">
        <v>353</v>
      </c>
      <c r="D198" t="s">
        <v>217</v>
      </c>
      <c r="E198" t="s">
        <v>135</v>
      </c>
      <c r="F198" t="s">
        <v>136</v>
      </c>
      <c r="G198" t="s">
        <v>24</v>
      </c>
      <c r="H198">
        <v>1</v>
      </c>
      <c r="I198">
        <v>299.99</v>
      </c>
      <c r="J198" t="s">
        <v>38</v>
      </c>
      <c r="K198" t="s">
        <v>137</v>
      </c>
      <c r="L198" t="s">
        <v>27</v>
      </c>
      <c r="M198" t="s">
        <v>672</v>
      </c>
      <c r="N198">
        <v>299.99</v>
      </c>
      <c r="O198" t="s">
        <v>29</v>
      </c>
      <c r="P198" t="s">
        <v>185</v>
      </c>
      <c r="Q198">
        <v>2024</v>
      </c>
      <c r="R198">
        <v>2</v>
      </c>
    </row>
    <row r="199" spans="1:18">
      <c r="A199" t="s">
        <v>673</v>
      </c>
      <c r="B199" t="s">
        <v>674</v>
      </c>
      <c r="C199" t="s">
        <v>221</v>
      </c>
      <c r="D199" t="s">
        <v>34</v>
      </c>
      <c r="E199" t="s">
        <v>57</v>
      </c>
      <c r="F199" t="s">
        <v>58</v>
      </c>
      <c r="G199" t="s">
        <v>37</v>
      </c>
      <c r="H199">
        <v>2</v>
      </c>
      <c r="I199">
        <v>89.99</v>
      </c>
      <c r="J199" t="s">
        <v>78</v>
      </c>
      <c r="K199" t="s">
        <v>26</v>
      </c>
      <c r="L199" t="s">
        <v>27</v>
      </c>
      <c r="M199" t="s">
        <v>675</v>
      </c>
      <c r="N199">
        <v>179.98</v>
      </c>
      <c r="O199" t="s">
        <v>29</v>
      </c>
      <c r="P199" t="s">
        <v>42</v>
      </c>
      <c r="Q199">
        <v>2024</v>
      </c>
      <c r="R199">
        <v>4</v>
      </c>
    </row>
    <row r="200" spans="1:18">
      <c r="A200" t="s">
        <v>676</v>
      </c>
      <c r="B200" t="s">
        <v>671</v>
      </c>
      <c r="C200" t="s">
        <v>115</v>
      </c>
      <c r="D200" t="s">
        <v>72</v>
      </c>
      <c r="E200" t="s">
        <v>47</v>
      </c>
      <c r="F200" t="s">
        <v>48</v>
      </c>
      <c r="G200" t="s">
        <v>37</v>
      </c>
      <c r="H200">
        <v>4</v>
      </c>
      <c r="I200">
        <v>699.99</v>
      </c>
      <c r="J200" t="s">
        <v>49</v>
      </c>
      <c r="K200" t="s">
        <v>26</v>
      </c>
      <c r="L200" t="s">
        <v>59</v>
      </c>
      <c r="M200" t="s">
        <v>677</v>
      </c>
      <c r="N200">
        <v>2799.96</v>
      </c>
      <c r="O200" t="s">
        <v>29</v>
      </c>
      <c r="P200" t="s">
        <v>185</v>
      </c>
      <c r="Q200">
        <v>2024</v>
      </c>
      <c r="R200">
        <v>3</v>
      </c>
    </row>
    <row r="201" spans="1:18">
      <c r="A201" t="s">
        <v>678</v>
      </c>
      <c r="B201" t="s">
        <v>679</v>
      </c>
      <c r="C201" t="s">
        <v>331</v>
      </c>
      <c r="D201" t="s">
        <v>222</v>
      </c>
      <c r="E201" t="s">
        <v>85</v>
      </c>
      <c r="F201" t="s">
        <v>86</v>
      </c>
      <c r="G201" t="s">
        <v>24</v>
      </c>
      <c r="H201">
        <v>4</v>
      </c>
      <c r="I201">
        <v>149.99</v>
      </c>
      <c r="J201" t="s">
        <v>49</v>
      </c>
      <c r="K201" t="s">
        <v>26</v>
      </c>
      <c r="L201" t="s">
        <v>40</v>
      </c>
      <c r="M201" t="s">
        <v>680</v>
      </c>
      <c r="N201">
        <v>599.96</v>
      </c>
      <c r="O201" t="s">
        <v>29</v>
      </c>
      <c r="P201" t="s">
        <v>298</v>
      </c>
      <c r="Q201">
        <v>2024</v>
      </c>
      <c r="R201">
        <v>3</v>
      </c>
    </row>
    <row r="202" spans="1:18">
      <c r="A202" t="s">
        <v>681</v>
      </c>
      <c r="B202" t="s">
        <v>300</v>
      </c>
      <c r="C202" t="s">
        <v>283</v>
      </c>
      <c r="D202" t="s">
        <v>64</v>
      </c>
      <c r="E202" t="s">
        <v>135</v>
      </c>
      <c r="F202" t="s">
        <v>136</v>
      </c>
      <c r="G202" t="s">
        <v>24</v>
      </c>
      <c r="H202">
        <v>4</v>
      </c>
      <c r="I202">
        <v>299.99</v>
      </c>
      <c r="J202" t="s">
        <v>49</v>
      </c>
      <c r="K202" t="s">
        <v>137</v>
      </c>
      <c r="L202" t="s">
        <v>27</v>
      </c>
      <c r="M202" t="s">
        <v>682</v>
      </c>
      <c r="N202">
        <v>1199.96</v>
      </c>
      <c r="O202" t="s">
        <v>29</v>
      </c>
      <c r="P202" t="s">
        <v>68</v>
      </c>
      <c r="Q202">
        <v>2024</v>
      </c>
      <c r="R202">
        <v>5</v>
      </c>
    </row>
    <row r="203" spans="1:18">
      <c r="A203" t="s">
        <v>683</v>
      </c>
      <c r="B203" t="s">
        <v>684</v>
      </c>
      <c r="C203" t="s">
        <v>45</v>
      </c>
      <c r="D203" t="s">
        <v>92</v>
      </c>
      <c r="E203" t="s">
        <v>126</v>
      </c>
      <c r="F203" t="s">
        <v>127</v>
      </c>
      <c r="G203" t="s">
        <v>95</v>
      </c>
      <c r="H203">
        <v>5</v>
      </c>
      <c r="I203">
        <v>79.99</v>
      </c>
      <c r="J203" t="s">
        <v>49</v>
      </c>
      <c r="K203" t="s">
        <v>79</v>
      </c>
      <c r="L203" t="s">
        <v>27</v>
      </c>
      <c r="M203" t="s">
        <v>685</v>
      </c>
      <c r="N203">
        <v>399.95</v>
      </c>
      <c r="O203" t="s">
        <v>29</v>
      </c>
      <c r="P203" t="s">
        <v>30</v>
      </c>
      <c r="Q203">
        <v>2024</v>
      </c>
      <c r="R203">
        <v>4</v>
      </c>
    </row>
    <row r="204" spans="1:18">
      <c r="A204" t="s">
        <v>686</v>
      </c>
      <c r="B204" t="s">
        <v>610</v>
      </c>
      <c r="C204" t="s">
        <v>371</v>
      </c>
      <c r="D204" t="s">
        <v>296</v>
      </c>
      <c r="E204" t="s">
        <v>35</v>
      </c>
      <c r="F204" t="s">
        <v>36</v>
      </c>
      <c r="G204" t="s">
        <v>37</v>
      </c>
      <c r="H204">
        <v>3</v>
      </c>
      <c r="I204">
        <v>899.99</v>
      </c>
      <c r="J204" t="s">
        <v>38</v>
      </c>
      <c r="K204" t="s">
        <v>137</v>
      </c>
      <c r="L204" t="s">
        <v>27</v>
      </c>
      <c r="M204" t="s">
        <v>687</v>
      </c>
      <c r="N204">
        <v>2699.97</v>
      </c>
      <c r="O204" t="s">
        <v>29</v>
      </c>
      <c r="P204" t="s">
        <v>106</v>
      </c>
      <c r="Q204">
        <v>2025</v>
      </c>
      <c r="R204">
        <v>3</v>
      </c>
    </row>
    <row r="205" spans="1:18">
      <c r="A205" t="s">
        <v>688</v>
      </c>
      <c r="B205" t="s">
        <v>689</v>
      </c>
      <c r="C205" t="s">
        <v>91</v>
      </c>
      <c r="D205" t="s">
        <v>231</v>
      </c>
      <c r="E205" t="s">
        <v>65</v>
      </c>
      <c r="F205" t="s">
        <v>66</v>
      </c>
      <c r="G205" t="s">
        <v>37</v>
      </c>
      <c r="H205">
        <v>4</v>
      </c>
      <c r="I205">
        <v>149.99</v>
      </c>
      <c r="J205" t="s">
        <v>78</v>
      </c>
      <c r="K205" t="s">
        <v>39</v>
      </c>
      <c r="L205" t="s">
        <v>59</v>
      </c>
      <c r="M205" t="s">
        <v>690</v>
      </c>
      <c r="N205">
        <v>599.96</v>
      </c>
      <c r="O205" t="s">
        <v>29</v>
      </c>
      <c r="P205" t="s">
        <v>81</v>
      </c>
      <c r="Q205">
        <v>2024</v>
      </c>
      <c r="R205">
        <v>4</v>
      </c>
    </row>
    <row r="206" spans="1:18">
      <c r="A206" t="s">
        <v>691</v>
      </c>
      <c r="B206" t="s">
        <v>411</v>
      </c>
      <c r="C206" t="s">
        <v>415</v>
      </c>
      <c r="D206" t="s">
        <v>340</v>
      </c>
      <c r="E206" t="s">
        <v>93</v>
      </c>
      <c r="F206" t="s">
        <v>94</v>
      </c>
      <c r="G206" t="s">
        <v>95</v>
      </c>
      <c r="H206">
        <v>4</v>
      </c>
      <c r="I206">
        <v>59.99</v>
      </c>
      <c r="J206" t="s">
        <v>38</v>
      </c>
      <c r="K206" t="s">
        <v>79</v>
      </c>
      <c r="L206" t="s">
        <v>27</v>
      </c>
      <c r="M206" t="s">
        <v>692</v>
      </c>
      <c r="N206">
        <v>239.96</v>
      </c>
      <c r="O206" t="s">
        <v>29</v>
      </c>
      <c r="P206" t="s">
        <v>52</v>
      </c>
      <c r="Q206">
        <v>2024</v>
      </c>
      <c r="R206">
        <v>5</v>
      </c>
    </row>
    <row r="207" spans="1:18">
      <c r="A207" t="s">
        <v>693</v>
      </c>
      <c r="B207" t="s">
        <v>271</v>
      </c>
      <c r="C207" t="s">
        <v>55</v>
      </c>
      <c r="D207" t="s">
        <v>253</v>
      </c>
      <c r="E207" t="s">
        <v>22</v>
      </c>
      <c r="F207" t="s">
        <v>23</v>
      </c>
      <c r="G207" t="s">
        <v>24</v>
      </c>
      <c r="H207">
        <v>5</v>
      </c>
      <c r="I207">
        <v>199.99</v>
      </c>
      <c r="J207" t="s">
        <v>38</v>
      </c>
      <c r="K207" t="s">
        <v>50</v>
      </c>
      <c r="L207" t="s">
        <v>40</v>
      </c>
      <c r="M207" t="s">
        <v>445</v>
      </c>
      <c r="N207">
        <v>999.95</v>
      </c>
      <c r="O207" t="s">
        <v>29</v>
      </c>
      <c r="P207" t="s">
        <v>185</v>
      </c>
      <c r="Q207">
        <v>2024</v>
      </c>
      <c r="R207">
        <v>4</v>
      </c>
    </row>
    <row r="208" spans="1:18">
      <c r="A208" t="s">
        <v>694</v>
      </c>
      <c r="B208" t="s">
        <v>695</v>
      </c>
      <c r="C208" t="s">
        <v>146</v>
      </c>
      <c r="D208" t="s">
        <v>277</v>
      </c>
      <c r="E208" t="s">
        <v>135</v>
      </c>
      <c r="F208" t="s">
        <v>136</v>
      </c>
      <c r="G208" t="s">
        <v>24</v>
      </c>
      <c r="H208">
        <v>4</v>
      </c>
      <c r="I208">
        <v>299.99</v>
      </c>
      <c r="J208" t="s">
        <v>25</v>
      </c>
      <c r="K208" t="s">
        <v>137</v>
      </c>
      <c r="L208" t="s">
        <v>59</v>
      </c>
      <c r="M208" t="s">
        <v>696</v>
      </c>
      <c r="N208">
        <v>1199.96</v>
      </c>
      <c r="O208" t="s">
        <v>29</v>
      </c>
      <c r="P208" t="s">
        <v>42</v>
      </c>
      <c r="Q208">
        <v>2024</v>
      </c>
      <c r="R208">
        <v>4</v>
      </c>
    </row>
    <row r="209" spans="1:18">
      <c r="A209" t="s">
        <v>697</v>
      </c>
      <c r="B209" t="s">
        <v>698</v>
      </c>
      <c r="C209" t="s">
        <v>200</v>
      </c>
      <c r="D209" t="s">
        <v>164</v>
      </c>
      <c r="E209" t="s">
        <v>150</v>
      </c>
      <c r="F209" t="s">
        <v>151</v>
      </c>
      <c r="G209" t="s">
        <v>37</v>
      </c>
      <c r="H209">
        <v>2</v>
      </c>
      <c r="I209">
        <v>249.99</v>
      </c>
      <c r="J209" t="s">
        <v>38</v>
      </c>
      <c r="K209" t="s">
        <v>79</v>
      </c>
      <c r="L209" t="s">
        <v>59</v>
      </c>
      <c r="M209" t="s">
        <v>699</v>
      </c>
      <c r="N209">
        <v>499.98</v>
      </c>
      <c r="O209" t="s">
        <v>29</v>
      </c>
      <c r="P209" t="s">
        <v>68</v>
      </c>
      <c r="Q209">
        <v>2024</v>
      </c>
      <c r="R209">
        <v>3</v>
      </c>
    </row>
    <row r="210" spans="1:18">
      <c r="A210" t="s">
        <v>700</v>
      </c>
      <c r="B210" t="s">
        <v>195</v>
      </c>
      <c r="C210" t="s">
        <v>55</v>
      </c>
      <c r="D210" t="s">
        <v>172</v>
      </c>
      <c r="E210" t="s">
        <v>150</v>
      </c>
      <c r="F210" t="s">
        <v>151</v>
      </c>
      <c r="G210" t="s">
        <v>37</v>
      </c>
      <c r="H210">
        <v>2</v>
      </c>
      <c r="I210">
        <v>249.99</v>
      </c>
      <c r="J210" t="s">
        <v>38</v>
      </c>
      <c r="K210" t="s">
        <v>26</v>
      </c>
      <c r="L210" t="s">
        <v>59</v>
      </c>
      <c r="M210" t="s">
        <v>701</v>
      </c>
      <c r="N210">
        <v>499.98</v>
      </c>
      <c r="O210" t="s">
        <v>29</v>
      </c>
      <c r="P210" t="s">
        <v>81</v>
      </c>
      <c r="Q210">
        <v>2024</v>
      </c>
      <c r="R210">
        <v>3</v>
      </c>
    </row>
    <row r="211" spans="1:18">
      <c r="A211" t="s">
        <v>702</v>
      </c>
      <c r="B211" t="s">
        <v>547</v>
      </c>
      <c r="C211" t="s">
        <v>591</v>
      </c>
      <c r="D211" t="s">
        <v>257</v>
      </c>
      <c r="E211" t="s">
        <v>65</v>
      </c>
      <c r="F211" t="s">
        <v>66</v>
      </c>
      <c r="G211" t="s">
        <v>37</v>
      </c>
      <c r="H211">
        <v>4</v>
      </c>
      <c r="I211">
        <v>149.99</v>
      </c>
      <c r="J211" t="s">
        <v>78</v>
      </c>
      <c r="K211" t="s">
        <v>26</v>
      </c>
      <c r="L211" t="s">
        <v>59</v>
      </c>
      <c r="M211" t="s">
        <v>703</v>
      </c>
      <c r="N211">
        <v>599.96</v>
      </c>
      <c r="O211" t="s">
        <v>29</v>
      </c>
      <c r="P211" t="s">
        <v>298</v>
      </c>
      <c r="Q211">
        <v>2024</v>
      </c>
      <c r="R211">
        <v>3</v>
      </c>
    </row>
    <row r="212" spans="1:18">
      <c r="A212" t="s">
        <v>704</v>
      </c>
      <c r="B212" t="s">
        <v>705</v>
      </c>
      <c r="C212" t="s">
        <v>163</v>
      </c>
      <c r="D212" t="s">
        <v>277</v>
      </c>
      <c r="E212" t="s">
        <v>85</v>
      </c>
      <c r="F212" t="s">
        <v>86</v>
      </c>
      <c r="G212" t="s">
        <v>24</v>
      </c>
      <c r="H212">
        <v>4</v>
      </c>
      <c r="I212">
        <v>149.99</v>
      </c>
      <c r="J212" t="s">
        <v>78</v>
      </c>
      <c r="K212" t="s">
        <v>79</v>
      </c>
      <c r="L212" t="s">
        <v>40</v>
      </c>
      <c r="M212" t="s">
        <v>706</v>
      </c>
      <c r="N212">
        <v>599.96</v>
      </c>
      <c r="O212" t="s">
        <v>29</v>
      </c>
      <c r="P212" t="s">
        <v>112</v>
      </c>
      <c r="Q212">
        <v>2024</v>
      </c>
      <c r="R212">
        <v>3</v>
      </c>
    </row>
    <row r="213" spans="1:18">
      <c r="A213" t="s">
        <v>707</v>
      </c>
      <c r="B213" t="s">
        <v>241</v>
      </c>
      <c r="C213" t="s">
        <v>331</v>
      </c>
      <c r="D213" t="s">
        <v>21</v>
      </c>
      <c r="E213" t="s">
        <v>47</v>
      </c>
      <c r="F213" t="s">
        <v>48</v>
      </c>
      <c r="G213" t="s">
        <v>37</v>
      </c>
      <c r="H213">
        <v>5</v>
      </c>
      <c r="I213">
        <v>699.99</v>
      </c>
      <c r="J213" t="s">
        <v>78</v>
      </c>
      <c r="K213" t="s">
        <v>50</v>
      </c>
      <c r="L213" t="s">
        <v>40</v>
      </c>
      <c r="M213" t="s">
        <v>708</v>
      </c>
      <c r="N213">
        <v>3499.95</v>
      </c>
      <c r="O213" t="s">
        <v>29</v>
      </c>
      <c r="P213" t="s">
        <v>88</v>
      </c>
      <c r="Q213">
        <v>2024</v>
      </c>
      <c r="R213">
        <v>4</v>
      </c>
    </row>
    <row r="214" spans="1:18">
      <c r="A214" t="s">
        <v>709</v>
      </c>
      <c r="B214" t="s">
        <v>710</v>
      </c>
      <c r="C214" t="s">
        <v>283</v>
      </c>
      <c r="D214" t="s">
        <v>231</v>
      </c>
      <c r="E214" t="s">
        <v>35</v>
      </c>
      <c r="F214" t="s">
        <v>36</v>
      </c>
      <c r="G214" t="s">
        <v>37</v>
      </c>
      <c r="H214">
        <v>2</v>
      </c>
      <c r="I214">
        <v>899.99</v>
      </c>
      <c r="J214" t="s">
        <v>25</v>
      </c>
      <c r="K214" t="s">
        <v>50</v>
      </c>
      <c r="L214" t="s">
        <v>40</v>
      </c>
      <c r="M214" t="s">
        <v>711</v>
      </c>
      <c r="N214">
        <v>1799.98</v>
      </c>
      <c r="O214" t="s">
        <v>29</v>
      </c>
      <c r="P214" t="s">
        <v>112</v>
      </c>
      <c r="Q214">
        <v>2024</v>
      </c>
      <c r="R214">
        <v>3</v>
      </c>
    </row>
    <row r="215" spans="1:18">
      <c r="A215" t="s">
        <v>712</v>
      </c>
      <c r="B215" t="s">
        <v>713</v>
      </c>
      <c r="C215" t="s">
        <v>163</v>
      </c>
      <c r="D215" t="s">
        <v>197</v>
      </c>
      <c r="E215" t="s">
        <v>126</v>
      </c>
      <c r="F215" t="s">
        <v>127</v>
      </c>
      <c r="G215" t="s">
        <v>95</v>
      </c>
      <c r="H215">
        <v>2</v>
      </c>
      <c r="I215">
        <v>79.99</v>
      </c>
      <c r="J215" t="s">
        <v>38</v>
      </c>
      <c r="K215" t="s">
        <v>50</v>
      </c>
      <c r="L215" t="s">
        <v>40</v>
      </c>
      <c r="M215" t="s">
        <v>714</v>
      </c>
      <c r="N215">
        <v>159.98</v>
      </c>
      <c r="O215" t="s">
        <v>29</v>
      </c>
      <c r="P215" t="s">
        <v>52</v>
      </c>
      <c r="Q215">
        <v>2024</v>
      </c>
      <c r="R215">
        <v>3</v>
      </c>
    </row>
    <row r="216" spans="1:18">
      <c r="A216" t="s">
        <v>715</v>
      </c>
      <c r="B216" t="s">
        <v>716</v>
      </c>
      <c r="C216" t="s">
        <v>307</v>
      </c>
      <c r="D216" t="s">
        <v>21</v>
      </c>
      <c r="E216" t="s">
        <v>57</v>
      </c>
      <c r="F216" t="s">
        <v>58</v>
      </c>
      <c r="G216" t="s">
        <v>37</v>
      </c>
      <c r="H216">
        <v>5</v>
      </c>
      <c r="I216">
        <v>89.99</v>
      </c>
      <c r="J216" t="s">
        <v>78</v>
      </c>
      <c r="K216" t="s">
        <v>137</v>
      </c>
      <c r="L216" t="s">
        <v>59</v>
      </c>
      <c r="M216" t="s">
        <v>717</v>
      </c>
      <c r="N216">
        <v>449.95</v>
      </c>
      <c r="O216" t="s">
        <v>29</v>
      </c>
      <c r="P216" t="s">
        <v>112</v>
      </c>
      <c r="Q216">
        <v>2024</v>
      </c>
      <c r="R216">
        <v>2</v>
      </c>
    </row>
    <row r="217" spans="1:18">
      <c r="A217" t="s">
        <v>718</v>
      </c>
      <c r="B217" t="s">
        <v>554</v>
      </c>
      <c r="C217" t="s">
        <v>200</v>
      </c>
      <c r="D217" t="s">
        <v>273</v>
      </c>
      <c r="E217" t="s">
        <v>126</v>
      </c>
      <c r="F217" t="s">
        <v>127</v>
      </c>
      <c r="G217" t="s">
        <v>95</v>
      </c>
      <c r="H217">
        <v>5</v>
      </c>
      <c r="I217">
        <v>79.99</v>
      </c>
      <c r="J217" t="s">
        <v>25</v>
      </c>
      <c r="K217" t="s">
        <v>50</v>
      </c>
      <c r="L217" t="s">
        <v>40</v>
      </c>
      <c r="M217" t="s">
        <v>719</v>
      </c>
      <c r="N217">
        <v>399.95</v>
      </c>
      <c r="O217" t="s">
        <v>29</v>
      </c>
      <c r="P217" t="s">
        <v>112</v>
      </c>
      <c r="Q217">
        <v>2024</v>
      </c>
      <c r="R217">
        <v>2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selection activeCell="A1" sqref="A1"/>
    </sheetView>
  </sheetViews>
  <sheetFormatPr defaultColWidth="9" defaultRowHeight="14.5" outlineLevelCol="4"/>
  <cols>
    <col min="1" max="2" width="30" customWidth="1"/>
    <col min="3" max="3" width="3" customWidth="1"/>
    <col min="4" max="5" width="30" customWidth="1"/>
  </cols>
  <sheetData>
    <row r="1" ht="21" spans="1:1">
      <c r="A1" s="4" t="s">
        <v>720</v>
      </c>
    </row>
    <row r="3" spans="1:5">
      <c r="A3" t="s">
        <v>721</v>
      </c>
      <c r="B3">
        <f>SUM('Final Project Dataset'!N2:N217)</f>
        <v>205163.37</v>
      </c>
      <c r="D3" t="s">
        <v>722</v>
      </c>
      <c r="E3">
        <f ca="1">TODAY()</f>
        <v>46157</v>
      </c>
    </row>
    <row r="4" spans="1:5">
      <c r="A4" t="s">
        <v>723</v>
      </c>
      <c r="B4">
        <f>AVERAGE('Final Project Dataset'!N2:N217)</f>
        <v>949.830416666668</v>
      </c>
      <c r="D4" t="s">
        <v>724</v>
      </c>
      <c r="E4">
        <f ca="1">NOW()</f>
        <v>46157.8618287037</v>
      </c>
    </row>
    <row r="5" spans="1:5">
      <c r="A5" t="s">
        <v>725</v>
      </c>
      <c r="B5">
        <f>COUNTA('Final Project Dataset'!A2:A217)</f>
        <v>216</v>
      </c>
      <c r="D5" t="s">
        <v>726</v>
      </c>
      <c r="E5">
        <f ca="1">EOMONTH(E3,0)</f>
        <v>46173</v>
      </c>
    </row>
    <row r="6" spans="1:5">
      <c r="A6" t="s">
        <v>727</v>
      </c>
      <c r="B6" t="str">
        <f>INDEX('Final Project Dataset'!D2:D217,MATCH(MAX('Final Project Dataset'!N2:N217),'Final Project Dataset'!N2:N217,0))</f>
        <v>Mark Carter</v>
      </c>
      <c r="D6" t="s">
        <v>728</v>
      </c>
      <c r="E6">
        <f ca="1">DATEDIF("2021-01-01",TODAY(),"Y")</f>
        <v>5</v>
      </c>
    </row>
    <row r="7" spans="1:2">
      <c r="A7" t="s">
        <v>729</v>
      </c>
      <c r="B7" t="str">
        <f>INDEX('Final Project Dataset'!F2:F217,MATCH(MAX('Final Project Dataset'!H2:H217),'Final Project Dataset'!H2:H217,0))</f>
        <v>Laptop</v>
      </c>
    </row>
    <row r="10" spans="1:4">
      <c r="A10" t="s">
        <v>730</v>
      </c>
      <c r="D10" t="s">
        <v>731</v>
      </c>
    </row>
    <row r="11" spans="1:4">
      <c r="A11" t="s">
        <v>732</v>
      </c>
      <c r="B11">
        <f>SUM('Final Project Dataset'!N2:N217)</f>
        <v>205163.37</v>
      </c>
      <c r="D11" t="str">
        <f>_xlfn._xlws.FILTER('Final Project Dataset'!D2:D217,'Final Project Dataset'!K2:K217="West")</f>
        <v>Daniel King</v>
      </c>
    </row>
    <row r="12" spans="1:2">
      <c r="A12" t="s">
        <v>733</v>
      </c>
      <c r="B12">
        <v>0.15</v>
      </c>
    </row>
    <row r="13" spans="1:2">
      <c r="A13" t="s">
        <v>734</v>
      </c>
      <c r="B13">
        <f>B11*(1+B12)</f>
        <v>235937.8755</v>
      </c>
    </row>
    <row r="15" spans="4:5">
      <c r="D15" t="s">
        <v>735</v>
      </c>
      <c r="E15" t="str">
        <f>LEFT('Final Project Dataset'!D2,3)&amp;"-"&amp;RIGHT('Final Project Dataset'!C2,3)</f>
        <v>Art-005</v>
      </c>
    </row>
  </sheetData>
  <conditionalFormatting sqref="B3:B13">
    <cfRule type="colorScale" priority="1">
      <colorScale>
        <cfvo type="min"/>
        <cfvo type="max"/>
        <color rgb="FFF8696B"/>
        <color rgb="FF63BE7B"/>
      </colorScale>
    </cfRule>
    <cfRule type="iconSet" priority="2">
      <iconSet iconSet="3Arrows">
        <cfvo type="num" val="1000"/>
        <cfvo type="num" val="5000"/>
        <cfvo type="num" val="10000"/>
      </iconSet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workbookViewId="0">
      <selection activeCell="J1" sqref="J1"/>
    </sheetView>
  </sheetViews>
  <sheetFormatPr defaultColWidth="9" defaultRowHeight="14.5"/>
  <cols>
    <col min="1" max="1" width="10" customWidth="1"/>
    <col min="2" max="2" width="30" customWidth="1"/>
    <col min="3" max="9" width="3" customWidth="1"/>
    <col min="10" max="10" width="14" customWidth="1"/>
    <col min="11" max="11" width="8" customWidth="1"/>
  </cols>
  <sheetData>
    <row r="1" spans="1:11">
      <c r="A1" t="s">
        <v>10</v>
      </c>
      <c r="B1" t="s">
        <v>736</v>
      </c>
      <c r="J1" t="s">
        <v>6</v>
      </c>
      <c r="K1" t="s">
        <v>736</v>
      </c>
    </row>
    <row r="2" spans="1:11">
      <c r="A2" t="s">
        <v>39</v>
      </c>
      <c r="B2">
        <f>SUMIF('Final Project Dataset'!K:K,A2,'Final Project Dataset'!N:N)</f>
        <v>39688.78</v>
      </c>
      <c r="J2" t="s">
        <v>37</v>
      </c>
      <c r="K2">
        <v>55000</v>
      </c>
    </row>
    <row r="3" spans="1:11">
      <c r="A3" t="s">
        <v>137</v>
      </c>
      <c r="B3">
        <f>SUMIF('Final Project Dataset'!K:K,A3,'Final Project Dataset'!N:N)</f>
        <v>29458.81</v>
      </c>
      <c r="J3" t="s">
        <v>24</v>
      </c>
      <c r="K3">
        <v>32000</v>
      </c>
    </row>
    <row r="4" spans="1:11">
      <c r="A4" t="s">
        <v>26</v>
      </c>
      <c r="B4">
        <f>SUMIF('Final Project Dataset'!K:K,A4,'Final Project Dataset'!N:N)</f>
        <v>39938.86</v>
      </c>
      <c r="J4" t="s">
        <v>95</v>
      </c>
      <c r="K4">
        <v>18000</v>
      </c>
    </row>
    <row r="5" spans="1:2">
      <c r="A5" t="s">
        <v>79</v>
      </c>
      <c r="B5">
        <f>SUMIF('Final Project Dataset'!K:K,A5,'Final Project Dataset'!N:N)</f>
        <v>46508.48</v>
      </c>
    </row>
    <row r="6" spans="1:2">
      <c r="A6" t="s">
        <v>50</v>
      </c>
      <c r="B6">
        <f>SUMIF('Final Project Dataset'!K:K,A6,'Final Project Dataset'!N:N)</f>
        <v>49568.44</v>
      </c>
    </row>
    <row r="10" spans="1:2">
      <c r="A10" t="s">
        <v>15</v>
      </c>
      <c r="B10" t="s">
        <v>737</v>
      </c>
    </row>
    <row r="11" spans="1:2">
      <c r="A11" t="s">
        <v>298</v>
      </c>
      <c r="B11">
        <v>16666</v>
      </c>
    </row>
    <row r="12" spans="1:2">
      <c r="A12" t="s">
        <v>112</v>
      </c>
      <c r="B12">
        <v>21731</v>
      </c>
    </row>
    <row r="13" spans="1:2">
      <c r="A13" t="s">
        <v>68</v>
      </c>
      <c r="B13">
        <v>15673</v>
      </c>
    </row>
    <row r="14" spans="1:2">
      <c r="A14" t="s">
        <v>42</v>
      </c>
      <c r="B14">
        <v>12565</v>
      </c>
    </row>
    <row r="15" spans="1:2">
      <c r="A15" t="s">
        <v>185</v>
      </c>
      <c r="B15">
        <v>23507</v>
      </c>
    </row>
    <row r="16" spans="1:2">
      <c r="A16" t="s">
        <v>88</v>
      </c>
      <c r="B16">
        <v>24157</v>
      </c>
    </row>
    <row r="17" spans="1:2">
      <c r="A17" t="s">
        <v>30</v>
      </c>
      <c r="B17">
        <v>9915</v>
      </c>
    </row>
    <row r="18" spans="1:2">
      <c r="A18" t="s">
        <v>52</v>
      </c>
      <c r="B18">
        <v>23871</v>
      </c>
    </row>
    <row r="19" spans="1:2">
      <c r="A19" t="s">
        <v>81</v>
      </c>
      <c r="B19">
        <v>23305</v>
      </c>
    </row>
    <row r="20" spans="1:2">
      <c r="A20" t="s">
        <v>106</v>
      </c>
      <c r="B20">
        <v>12732</v>
      </c>
    </row>
    <row r="21" spans="1:2">
      <c r="A21" t="s">
        <v>122</v>
      </c>
      <c r="B21">
        <v>24101</v>
      </c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A11" sqref="A11"/>
    </sheetView>
  </sheetViews>
  <sheetFormatPr defaultColWidth="9" defaultRowHeight="14.5" outlineLevelCol="1"/>
  <cols>
    <col min="1" max="1" width="30" customWidth="1"/>
    <col min="2" max="2" width="15" customWidth="1"/>
    <col min="3" max="3" width="3" customWidth="1"/>
    <col min="4" max="4" width="30" customWidth="1"/>
  </cols>
  <sheetData>
    <row r="1" ht="26" spans="1:1">
      <c r="A1" s="1" t="s">
        <v>738</v>
      </c>
    </row>
    <row r="3" spans="1:2">
      <c r="A3" s="2" t="s">
        <v>721</v>
      </c>
      <c r="B3" s="3">
        <f>Analysis!B3</f>
        <v>205163.37</v>
      </c>
    </row>
    <row r="4" spans="1:2">
      <c r="A4" s="3"/>
      <c r="B4" s="3"/>
    </row>
    <row r="5" spans="1:2">
      <c r="A5" s="2" t="s">
        <v>723</v>
      </c>
      <c r="B5" s="3">
        <f>Analysis!B4</f>
        <v>949.830416666668</v>
      </c>
    </row>
    <row r="6" spans="1:2">
      <c r="A6" s="3"/>
      <c r="B6" s="3"/>
    </row>
    <row r="7" spans="1:2">
      <c r="A7" s="2" t="s">
        <v>725</v>
      </c>
      <c r="B7" s="3">
        <f>Analysis!B5</f>
        <v>216</v>
      </c>
    </row>
    <row r="8" spans="1:2">
      <c r="A8" s="3"/>
      <c r="B8" s="3"/>
    </row>
    <row r="9" spans="1:2">
      <c r="A9" s="2" t="s">
        <v>727</v>
      </c>
      <c r="B9" s="3" t="str">
        <f>Analysis!B6</f>
        <v>Mark Carter</v>
      </c>
    </row>
    <row r="10" spans="1:2">
      <c r="A10" s="3"/>
      <c r="B10" s="3"/>
    </row>
    <row r="11" spans="1:2">
      <c r="A11" s="2" t="s">
        <v>729</v>
      </c>
      <c r="B11" s="3" t="str">
        <f>Analysis!B7</f>
        <v>Laptop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Final Project Dataset</vt:lpstr>
      <vt:lpstr>Analysis</vt:lpstr>
      <vt:lpstr>Visualizations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Waghmashi</cp:lastModifiedBy>
  <dcterms:created xsi:type="dcterms:W3CDTF">2026-05-15T15:09:00Z</dcterms:created>
  <dcterms:modified xsi:type="dcterms:W3CDTF">2026-05-15T15:12:24Z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C5023F840B2340FFAC65AC670554139B_12</vt:lpwstr>
  </property>
  <property fmtid="{D5CDD505-2E9C-101B-9397-08002B2CF9AE}" pid="3" name="KSOProductBuildVer">
    <vt:lpwstr>2057-12.2.0.23197</vt:lpwstr>
  </property>
</Properties>
</file>