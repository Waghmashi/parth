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data" sheetId="3" r:id="rId1"/>
    <sheet name="formula" sheetId="4" r:id="rId2"/>
    <sheet name="dashboard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<sst xmlns="http://schemas.openxmlformats.org/spreadsheetml/2006/main" count="424" uniqueCount="139">
  <si>
    <t>Order ID</t>
  </si>
  <si>
    <t>Date</t>
  </si>
  <si>
    <t>Region</t>
  </si>
  <si>
    <t>Category</t>
  </si>
  <si>
    <t>Product</t>
  </si>
  <si>
    <t>Sales</t>
  </si>
  <si>
    <t>Profit</t>
  </si>
  <si>
    <t>Quantity</t>
  </si>
  <si>
    <t>ORD001</t>
  </si>
  <si>
    <t>North</t>
  </si>
  <si>
    <t>Electronics</t>
  </si>
  <si>
    <t>TV</t>
  </si>
  <si>
    <t>ORD002</t>
  </si>
  <si>
    <t>West</t>
  </si>
  <si>
    <t>ORD003</t>
  </si>
  <si>
    <t>East</t>
  </si>
  <si>
    <t>Groceries</t>
  </si>
  <si>
    <t>Rice</t>
  </si>
  <si>
    <t>ORD004</t>
  </si>
  <si>
    <t>South</t>
  </si>
  <si>
    <t>Clothing</t>
  </si>
  <si>
    <t>Shoes</t>
  </si>
  <si>
    <t>ORD005</t>
  </si>
  <si>
    <t>Laptop</t>
  </si>
  <si>
    <t>ORD006</t>
  </si>
  <si>
    <t>Furniture</t>
  </si>
  <si>
    <t>Chair</t>
  </si>
  <si>
    <t>ORD007</t>
  </si>
  <si>
    <t>Sofa</t>
  </si>
  <si>
    <t>ORD008</t>
  </si>
  <si>
    <t>Table</t>
  </si>
  <si>
    <t>ORD009</t>
  </si>
  <si>
    <t>ORD010</t>
  </si>
  <si>
    <t>Jeans</t>
  </si>
  <si>
    <t>ORD011</t>
  </si>
  <si>
    <t>ORD012</t>
  </si>
  <si>
    <t>ORD013</t>
  </si>
  <si>
    <t>ORD014</t>
  </si>
  <si>
    <t>ORD015</t>
  </si>
  <si>
    <t>Bread</t>
  </si>
  <si>
    <t>ORD016</t>
  </si>
  <si>
    <t>ORD017</t>
  </si>
  <si>
    <t>ORD018</t>
  </si>
  <si>
    <t>ORD019</t>
  </si>
  <si>
    <t>Shirt</t>
  </si>
  <si>
    <t>ORD020</t>
  </si>
  <si>
    <t>Jacket</t>
  </si>
  <si>
    <t>ORD021</t>
  </si>
  <si>
    <t>ORD022</t>
  </si>
  <si>
    <t>Milk</t>
  </si>
  <si>
    <t>ORD023</t>
  </si>
  <si>
    <t>ORD024</t>
  </si>
  <si>
    <t>ORD025</t>
  </si>
  <si>
    <t>ORD026</t>
  </si>
  <si>
    <t>Headphones</t>
  </si>
  <si>
    <t>ORD027</t>
  </si>
  <si>
    <t>ORD028</t>
  </si>
  <si>
    <t>Mobile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</si>
  <si>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</si>
  <si>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</si>
  <si>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</si>
  <si>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</si>
  <si>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</si>
  <si>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</si>
  <si>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</si>
  <si>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</si>
  <si>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</si>
  <si>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</si>
  <si>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</si>
  <si>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</si>
  <si>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</si>
  <si>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</si>
  <si>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</si>
  <si>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Snacks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</si>
  <si>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</si>
  <si>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</si>
  <si>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</si>
  <si>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</si>
  <si>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</si>
  <si>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</si>
  <si>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</si>
  <si>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</si>
  <si>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</si>
  <si>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</si>
  <si>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Desk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</si>
  <si>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</si>
  <si>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</si>
  <si>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</si>
  <si>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</si>
  <si>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</si>
  <si>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</si>
  <si>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</si>
  <si>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</si>
  <si>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</si>
  <si>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</si>
  <si>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</si>
  <si>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</si>
  <si>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</si>
  <si>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</si>
  <si>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</si>
  <si>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</si>
  <si>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</si>
  <si>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</si>
  <si>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</si>
  <si>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</si>
  <si>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</si>
  <si>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</si>
  <si>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</si>
  <si>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</si>
  <si>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</si>
  <si>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</si>
  <si>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</si>
  <si>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</si>
  <si>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</si>
  <si>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</si>
  <si>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</si>
  <si>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</si>
  <si>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</si>
  <si>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</si>
  <si>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</si>
  <si>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</si>
  <si>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</si>
  <si>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</si>
  <si>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</si>
  <si>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</si>
  <si>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</si>
  <si>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</si>
  <si>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</si>
  <si>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</si>
  <si>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</si>
  <si>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</si>
  <si>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</si>
  <si>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Performance</t>
  </si>
  <si>
    <t>Product Lookup</t>
  </si>
  <si>
    <t>INDEX-MATCH</t>
  </si>
  <si>
    <t>Total Sales</t>
  </si>
  <si>
    <t>281461</t>
  </si>
  <si>
    <t>Total Profit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</si>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</sst>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1" fillId="3" borderId="1" xfId="0" applyFont="1" applyFill="1" applyBorder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fill>
        <patternFill patternType="solid">
          <fgColor theme="1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top style="thin">
          <color theme="4"/>
        </top>
        <bottom style="medium">
          <color theme="4"/>
        </bottom>
      </border>
    </dxf>
    <dxf>
      <font>
        <color theme="4" tint="-0.499984740745262"/>
      </font>
      <border>
        <top style="thin">
          <color theme="4"/>
        </top>
        <bottom style="thin">
          <color theme="4"/>
        </bottom>
      </border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9" defaultPivotStyle="PivotStyleLight16">
    <tableStyle name="TableStylePreset1_Accent1" pivot="0" count="7" xr9:uid="{A98CE15B-0617-44FD-AA09-9F3C8805295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8_Accent2" pivot="0" count="9" xr9:uid="{61A64D99-2805-4B1C-90BA-55090B471F78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  <tableStyle name="tablestyleA84_df22a5" count="10" xr9:uid="{AE433D33-5E07-4FEF-81F2-333F84F92ECB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secondRowStripe" dxfId="20"/>
      <tableStyleElement type="firstColumnStripe" dxfId="19"/>
      <tableStyleElement type="secondColumnStripe" dxfId="18"/>
      <tableStyleElement type="firstTotalCell" dxfId="17"/>
      <tableStyleElement type="lastTotalCell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by region</a:t>
            </a:r>
            <a:endParaRPr lang="en-I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dashboard!$A$6:$A$9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dashboard!$B$6:$B$9</c:f>
              <c:numCache>
                <c:formatCode>General</c:formatCode>
                <c:ptCount val="4"/>
                <c:pt idx="0">
                  <c:v>70809</c:v>
                </c:pt>
                <c:pt idx="1">
                  <c:v>70736</c:v>
                </c:pt>
                <c:pt idx="2">
                  <c:v>65350</c:v>
                </c:pt>
                <c:pt idx="3">
                  <c:v>74566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faf24f-ecd2-40cc-99f3-642b4a8e62c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region sales</a:t>
            </a:r>
            <a:endParaRPr lang="en-IN" alt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dashboard!$B$5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dashboard!$A$6:$A$9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dashboard!$B$6:$B$9</c:f>
              <c:numCache>
                <c:formatCode>General</c:formatCode>
                <c:ptCount val="4"/>
                <c:pt idx="0">
                  <c:v>70809</c:v>
                </c:pt>
                <c:pt idx="1">
                  <c:v>70736</c:v>
                </c:pt>
                <c:pt idx="2">
                  <c:v>65350</c:v>
                </c:pt>
                <c:pt idx="3">
                  <c:v>74566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d8997f-b580-4686-a413-5c54e085eb6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0</xdr:row>
      <xdr:rowOff>0</xdr:rowOff>
    </xdr:from>
    <xdr:ext cx="5040000" cy="2880000"/>
    <xdr:graphicFrame>
      <xdr:nvGraphicFramePr>
        <xdr:cNvPr id="2" name="Chart 1"/>
        <xdr:cNvGraphicFramePr/>
      </xdr:nvGraphicFramePr>
      <xdr:xfrm>
        <a:off x="4400550" y="0"/>
        <a:ext cx="503999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16</xdr:row>
      <xdr:rowOff>0</xdr:rowOff>
    </xdr:from>
    <xdr:ext cx="3600000" cy="2880000"/>
    <xdr:graphicFrame>
      <xdr:nvGraphicFramePr>
        <xdr:cNvPr id="3" name="Chart 2"/>
        <xdr:cNvGraphicFramePr/>
      </xdr:nvGraphicFramePr>
      <xdr:xfrm>
        <a:off x="4400550" y="3048000"/>
        <a:ext cx="359981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WalmartTable" displayName="WalmartTable" ref="A1:H101">
  <autoFilter xmlns:etc="http://www.wps.cn/officeDocument/2017/etCustomData" ref="A1:H101" etc:filterBottomFollowUsedRange="0"/>
  <tableColumns count="8">
    <tableColumn id="1" name="Order ID"/>
    <tableColumn id="2" name="Date"/>
    <tableColumn id="3" name="Region"/>
    <tableColumn id="4" name="Category"/>
    <tableColumn id="5" name="Product"/>
    <tableColumn id="6" name="Sales"/>
    <tableColumn id="7" name="Profit"/>
    <tableColumn id="8" name="Quantity"/>
  </tableColumns>
  <tableStyleInfo name="TableStylePreset8_Accent2" showFirstColumn="1" showLastColumn="0" showRowStripes="0" showColumnStripes="0"/>
</table>
</file>

<file path=xl/tables/table2.xml><?xml version="1.0" encoding="utf-8"?>
<table xmlns="http://schemas.openxmlformats.org/spreadsheetml/2006/main" id="3" name="Table3" displayName="Table3" ref="A1:F15" totalsRowShown="0">
  <autoFilter xmlns:etc="http://www.wps.cn/officeDocument/2017/etCustomData" ref="A1:F15" etc:filterBottomFollowUsedRange="0"/>
  <tableColumns count="6">
    <tableColumn id="1" name="Order ID">
      <calculatedColumnFormula>data!A2</calculatedColumnFormula>
    </tableColumn>
    <tableColumn id="2" name="Sales">
      <calculatedColumnFormula>data!F2</calculatedColumnFormula>
    </tableColumn>
    <tableColumn id="3" name="Profit">
      <calculatedColumnFormula>data!G2</calculatedColumnFormula>
    </tableColumn>
    <tableColumn id="4" name="Performance">
      <calculatedColumnFormula>IF(B2&gt;3000,"High Sales","Low Sales")</calculatedColumnFormula>
    </tableColumn>
    <tableColumn id="5" name="Product Lookup">
      <calculatedColumnFormula>VLOOKUP(A2,data!A:H,5,FALSE)</calculatedColumnFormula>
    </tableColumn>
    <tableColumn id="6" name="INDEX-MATCH">
      <calculatedColumnFormula>INDEX(data!E:E,MATCH(A2,data!A:A,0))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B9" totalsRowShown="0">
  <autoFilter xmlns:etc="http://www.wps.cn/officeDocument/2017/etCustomData" ref="A1:B9" etc:filterBottomFollowUsedRange="0"/>
  <tableColumns count="2">
    <tableColumn id="1" name="Total Sales"/>
    <tableColumn id="2" name="281461"/>
  </tableColumns>
  <tableStyleInfo name="TableStylePreset1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selection activeCell="K12" sqref="$A1:$XFD1048576"/>
    </sheetView>
  </sheetViews>
  <sheetFormatPr defaultColWidth="9" defaultRowHeight="15" outlineLevelCol="7"/>
  <cols>
    <col min="1" max="8" width="18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6">
        <v>45665</v>
      </c>
      <c r="C2" t="s">
        <v>9</v>
      </c>
      <c r="D2" t="s">
        <v>10</v>
      </c>
      <c r="E2" t="s">
        <v>11</v>
      </c>
      <c r="F2">
        <v>2547</v>
      </c>
      <c r="G2">
        <v>689.39</v>
      </c>
      <c r="H2">
        <v>1</v>
      </c>
    </row>
    <row r="3" spans="1:8">
      <c r="A3" t="s">
        <v>12</v>
      </c>
      <c r="B3" s="6">
        <v>45776</v>
      </c>
      <c r="C3" t="s">
        <v>13</v>
      </c>
      <c r="D3" t="s">
        <v>10</v>
      </c>
      <c r="E3" t="s">
        <v>11</v>
      </c>
      <c r="F3">
        <v>4103</v>
      </c>
      <c r="G3">
        <v>276.23</v>
      </c>
      <c r="H3">
        <v>8</v>
      </c>
    </row>
    <row r="4" spans="1:8">
      <c r="A4" t="s">
        <v>14</v>
      </c>
      <c r="B4" s="6">
        <v>45772</v>
      </c>
      <c r="C4" t="s">
        <v>15</v>
      </c>
      <c r="D4" t="s">
        <v>16</v>
      </c>
      <c r="E4" t="s">
        <v>17</v>
      </c>
      <c r="F4">
        <v>2049</v>
      </c>
      <c r="G4">
        <v>186.66</v>
      </c>
      <c r="H4">
        <v>2</v>
      </c>
    </row>
    <row r="5" spans="1:8">
      <c r="A5" t="s">
        <v>18</v>
      </c>
      <c r="B5" s="6">
        <v>45837</v>
      </c>
      <c r="C5" t="s">
        <v>19</v>
      </c>
      <c r="D5" t="s">
        <v>20</v>
      </c>
      <c r="E5" t="s">
        <v>21</v>
      </c>
      <c r="F5">
        <v>2144</v>
      </c>
      <c r="G5">
        <v>116.59</v>
      </c>
      <c r="H5">
        <v>3</v>
      </c>
    </row>
    <row r="6" spans="1:8">
      <c r="A6" t="s">
        <v>22</v>
      </c>
      <c r="B6" s="6">
        <v>45717</v>
      </c>
      <c r="C6" t="s">
        <v>9</v>
      </c>
      <c r="D6" t="s">
        <v>10</v>
      </c>
      <c r="E6" t="s">
        <v>23</v>
      </c>
      <c r="F6">
        <v>4799</v>
      </c>
      <c r="G6">
        <v>1162.47</v>
      </c>
      <c r="H6">
        <v>4</v>
      </c>
    </row>
    <row r="7" spans="1:8">
      <c r="A7" t="s">
        <v>24</v>
      </c>
      <c r="B7" s="6">
        <v>45767</v>
      </c>
      <c r="C7" t="s">
        <v>15</v>
      </c>
      <c r="D7" t="s">
        <v>25</v>
      </c>
      <c r="E7" t="s">
        <v>26</v>
      </c>
      <c r="F7">
        <v>4883</v>
      </c>
      <c r="G7">
        <v>540.39</v>
      </c>
      <c r="H7">
        <v>1</v>
      </c>
    </row>
    <row r="8" spans="1:8">
      <c r="A8" t="s">
        <v>27</v>
      </c>
      <c r="B8" s="6">
        <v>45786</v>
      </c>
      <c r="C8" t="s">
        <v>9</v>
      </c>
      <c r="D8" t="s">
        <v>25</v>
      </c>
      <c r="E8" t="s">
        <v>28</v>
      </c>
      <c r="F8">
        <v>2189</v>
      </c>
      <c r="G8">
        <v>635.1</v>
      </c>
      <c r="H8">
        <v>7</v>
      </c>
    </row>
    <row r="9" spans="1:8">
      <c r="A9" t="s">
        <v>29</v>
      </c>
      <c r="B9" s="6">
        <v>45749</v>
      </c>
      <c r="C9" t="s">
        <v>15</v>
      </c>
      <c r="D9" t="s">
        <v>25</v>
      </c>
      <c r="E9" t="s">
        <v>30</v>
      </c>
      <c r="F9">
        <v>515</v>
      </c>
      <c r="G9">
        <v>71.65</v>
      </c>
      <c r="H9">
        <v>1</v>
      </c>
    </row>
    <row r="10" spans="1:8">
      <c r="A10" t="s">
        <v>31</v>
      </c>
      <c r="B10" s="6">
        <v>45672</v>
      </c>
      <c r="C10" t="s">
        <v>9</v>
      </c>
      <c r="D10" t="s">
        <v>16</v>
      </c>
      <c r="E10" t="s">
        <v>17</v>
      </c>
      <c r="F10">
        <v>1740</v>
      </c>
      <c r="G10">
        <v>129.46</v>
      </c>
      <c r="H10">
        <v>5</v>
      </c>
    </row>
    <row r="11" spans="1:8">
      <c r="A11" t="s">
        <v>32</v>
      </c>
      <c r="B11" s="6">
        <v>45732</v>
      </c>
      <c r="C11" t="s">
        <v>13</v>
      </c>
      <c r="D11" t="s">
        <v>20</v>
      </c>
      <c r="E11" t="s">
        <v>33</v>
      </c>
      <c r="F11">
        <v>3098</v>
      </c>
      <c r="G11">
        <v>283.86</v>
      </c>
      <c r="H11">
        <v>9</v>
      </c>
    </row>
    <row r="12" spans="1:8">
      <c r="A12" t="s">
        <v>34</v>
      </c>
      <c r="B12" s="6">
        <v>45678</v>
      </c>
      <c r="C12" t="s">
        <v>9</v>
      </c>
      <c r="D12" t="s">
        <v>16</v>
      </c>
      <c r="E12" t="s">
        <v>17</v>
      </c>
      <c r="F12">
        <v>4548</v>
      </c>
      <c r="G12">
        <v>948.98</v>
      </c>
      <c r="H12">
        <v>3</v>
      </c>
    </row>
    <row r="13" spans="1:8">
      <c r="A13" t="s">
        <v>35</v>
      </c>
      <c r="B13" s="6">
        <v>45717</v>
      </c>
      <c r="C13" t="s">
        <v>15</v>
      </c>
      <c r="D13" t="s">
        <v>25</v>
      </c>
      <c r="E13" t="s">
        <v>28</v>
      </c>
      <c r="F13">
        <v>2276</v>
      </c>
      <c r="G13">
        <v>539.81</v>
      </c>
      <c r="H13">
        <v>10</v>
      </c>
    </row>
    <row r="14" spans="1:8">
      <c r="A14" t="s">
        <v>36</v>
      </c>
      <c r="B14" s="6">
        <v>45829</v>
      </c>
      <c r="C14" t="s">
        <v>15</v>
      </c>
      <c r="D14" t="s">
        <v>25</v>
      </c>
      <c r="E14" t="s">
        <v>28</v>
      </c>
      <c r="F14">
        <v>3849</v>
      </c>
      <c r="G14">
        <v>374.31</v>
      </c>
      <c r="H14">
        <v>5</v>
      </c>
    </row>
    <row r="15" spans="1:8">
      <c r="A15" t="s">
        <v>37</v>
      </c>
      <c r="B15" s="6">
        <v>45704</v>
      </c>
      <c r="C15" t="s">
        <v>9</v>
      </c>
      <c r="D15" t="s">
        <v>10</v>
      </c>
      <c r="E15" t="s">
        <v>23</v>
      </c>
      <c r="F15">
        <v>1587</v>
      </c>
      <c r="G15">
        <v>227.63</v>
      </c>
      <c r="H15">
        <v>9</v>
      </c>
    </row>
    <row r="16" spans="1:8">
      <c r="A16" t="s">
        <v>38</v>
      </c>
      <c r="B16" s="6">
        <v>45748</v>
      </c>
      <c r="C16" t="s">
        <v>9</v>
      </c>
      <c r="D16" t="s">
        <v>16</v>
      </c>
      <c r="E16" t="s">
        <v>39</v>
      </c>
      <c r="F16">
        <v>2884</v>
      </c>
      <c r="G16">
        <v>575.9</v>
      </c>
      <c r="H16">
        <v>8</v>
      </c>
    </row>
    <row r="17" spans="1:8">
      <c r="A17" t="s">
        <v>40</v>
      </c>
      <c r="B17" s="6">
        <v>45750</v>
      </c>
      <c r="C17" t="s">
        <v>13</v>
      </c>
      <c r="D17" t="s">
        <v>10</v>
      </c>
      <c r="E17" t="s">
        <v>23</v>
      </c>
      <c r="F17">
        <v>4722</v>
      </c>
      <c r="G17">
        <v>927.95</v>
      </c>
      <c r="H17">
        <v>8</v>
      </c>
    </row>
    <row r="18" spans="1:8">
      <c r="A18" t="s">
        <v>41</v>
      </c>
      <c r="B18" s="6">
        <v>45713</v>
      </c>
      <c r="C18" t="s">
        <v>19</v>
      </c>
      <c r="D18" t="s">
        <v>25</v>
      </c>
      <c r="E18" t="s">
        <v>30</v>
      </c>
      <c r="F18">
        <v>1258</v>
      </c>
      <c r="G18">
        <v>190.73</v>
      </c>
      <c r="H18">
        <v>4</v>
      </c>
    </row>
    <row r="19" spans="1:8">
      <c r="A19" t="s">
        <v>42</v>
      </c>
      <c r="B19" s="6">
        <v>45695</v>
      </c>
      <c r="C19" t="s">
        <v>9</v>
      </c>
      <c r="D19" t="s">
        <v>16</v>
      </c>
      <c r="E19" t="s">
        <v>39</v>
      </c>
      <c r="F19">
        <v>2239</v>
      </c>
      <c r="G19">
        <v>643.31</v>
      </c>
      <c r="H19">
        <v>1</v>
      </c>
    </row>
    <row r="20" spans="1:8">
      <c r="A20" t="s">
        <v>43</v>
      </c>
      <c r="B20" s="6">
        <v>45682</v>
      </c>
      <c r="C20" t="s">
        <v>19</v>
      </c>
      <c r="D20" t="s">
        <v>20</v>
      </c>
      <c r="E20" t="s">
        <v>44</v>
      </c>
      <c r="F20">
        <v>4370</v>
      </c>
      <c r="G20">
        <v>793.47</v>
      </c>
      <c r="H20">
        <v>3</v>
      </c>
    </row>
    <row r="21" spans="1:8">
      <c r="A21" t="s">
        <v>45</v>
      </c>
      <c r="B21" s="6">
        <v>45699</v>
      </c>
      <c r="C21" t="s">
        <v>13</v>
      </c>
      <c r="D21" t="s">
        <v>20</v>
      </c>
      <c r="E21" t="s">
        <v>46</v>
      </c>
      <c r="F21">
        <v>828</v>
      </c>
      <c r="G21">
        <v>208.18</v>
      </c>
      <c r="H21">
        <v>1</v>
      </c>
    </row>
    <row r="22" spans="1:8">
      <c r="A22" t="s">
        <v>47</v>
      </c>
      <c r="B22" s="6">
        <v>45787</v>
      </c>
      <c r="C22" t="s">
        <v>15</v>
      </c>
      <c r="D22" t="s">
        <v>25</v>
      </c>
      <c r="E22" t="s">
        <v>26</v>
      </c>
      <c r="F22">
        <v>2380</v>
      </c>
      <c r="G22">
        <v>505.48</v>
      </c>
      <c r="H22">
        <v>4</v>
      </c>
    </row>
    <row r="23" spans="1:8">
      <c r="A23" t="s">
        <v>48</v>
      </c>
      <c r="B23" s="6">
        <v>45750</v>
      </c>
      <c r="C23" t="s">
        <v>9</v>
      </c>
      <c r="D23" t="s">
        <v>16</v>
      </c>
      <c r="E23" t="s">
        <v>49</v>
      </c>
      <c r="F23">
        <v>2185</v>
      </c>
      <c r="G23">
        <v>307.82</v>
      </c>
      <c r="H23">
        <v>5</v>
      </c>
    </row>
    <row r="24" spans="1:8">
      <c r="A24" t="s">
        <v>50</v>
      </c>
      <c r="B24" s="6">
        <v>45660</v>
      </c>
      <c r="C24" t="s">
        <v>13</v>
      </c>
      <c r="D24" t="s">
        <v>20</v>
      </c>
      <c r="E24" t="s">
        <v>21</v>
      </c>
      <c r="F24">
        <v>4130</v>
      </c>
      <c r="G24">
        <v>1200.13</v>
      </c>
      <c r="H24">
        <v>7</v>
      </c>
    </row>
    <row r="25" spans="1:8">
      <c r="A25" t="s">
        <v>51</v>
      </c>
      <c r="B25" s="6">
        <v>45728</v>
      </c>
      <c r="C25" t="s">
        <v>19</v>
      </c>
      <c r="D25" t="s">
        <v>25</v>
      </c>
      <c r="E25" t="s">
        <v>30</v>
      </c>
      <c r="F25">
        <v>4782</v>
      </c>
      <c r="G25">
        <v>314.36</v>
      </c>
      <c r="H25">
        <v>4</v>
      </c>
    </row>
    <row r="26" spans="1:8">
      <c r="A26" t="s">
        <v>52</v>
      </c>
      <c r="B26" s="6">
        <v>45676</v>
      </c>
      <c r="C26" t="s">
        <v>9</v>
      </c>
      <c r="D26" t="s">
        <v>16</v>
      </c>
      <c r="E26" t="s">
        <v>49</v>
      </c>
      <c r="F26">
        <v>2189</v>
      </c>
      <c r="G26">
        <v>128.62</v>
      </c>
      <c r="H26">
        <v>5</v>
      </c>
    </row>
    <row r="27" spans="1:8">
      <c r="A27" t="s">
        <v>53</v>
      </c>
      <c r="B27" s="6">
        <v>45700</v>
      </c>
      <c r="C27" t="s">
        <v>19</v>
      </c>
      <c r="D27" t="s">
        <v>10</v>
      </c>
      <c r="E27" t="s">
        <v>54</v>
      </c>
      <c r="F27">
        <v>3194</v>
      </c>
      <c r="G27">
        <v>526.39</v>
      </c>
      <c r="H27">
        <v>9</v>
      </c>
    </row>
    <row r="28" spans="1:8">
      <c r="A28" t="s">
        <v>55</v>
      </c>
      <c r="B28" s="6">
        <v>45709</v>
      </c>
      <c r="C28" t="s">
        <v>15</v>
      </c>
      <c r="D28" t="s">
        <v>16</v>
      </c>
      <c r="E28" t="s">
        <v>49</v>
      </c>
      <c r="F28">
        <v>1332</v>
      </c>
      <c r="G28">
        <v>194.29</v>
      </c>
      <c r="H28">
        <v>8</v>
      </c>
    </row>
    <row r="29" spans="1:8">
      <c r="A29" t="s">
        <v>56</v>
      </c>
      <c r="B29" s="6">
        <v>45747</v>
      </c>
      <c r="C29" t="s">
        <v>9</v>
      </c>
      <c r="D29" t="s">
        <v>10</v>
      </c>
      <c r="E29" t="s">
        <v>57</v>
      </c>
      <c r="F29">
        <v>3479</v>
      </c>
      <c r="G29">
        <v>784.95</v>
      </c>
      <c r="H29">
        <v>6</v>
      </c>
    </row>
    <row r="30" spans="1:8">
      <c r="A30" t="s">
        <v>58</v>
      </c>
      <c r="B30" s="6">
        <v>45834</v>
      </c>
      <c r="C30" t="s">
        <v>19</v>
      </c>
      <c r="D30" t="s">
        <v>20</v>
      </c>
      <c r="E30" t="s">
        <v>33</v>
      </c>
      <c r="F30">
        <v>3168</v>
      </c>
      <c r="G30">
        <v>750.44</v>
      </c>
      <c r="H30">
        <v>7</v>
      </c>
    </row>
    <row r="31" spans="1:8">
      <c r="A31" t="s">
        <v>59</v>
      </c>
      <c r="B31" s="6">
        <v>45725</v>
      </c>
      <c r="C31" t="s">
        <v>19</v>
      </c>
      <c r="D31" t="s">
        <v>25</v>
      </c>
      <c r="E31" t="s">
        <v>30</v>
      </c>
      <c r="F31">
        <v>1752</v>
      </c>
      <c r="G31">
        <v>257.83</v>
      </c>
      <c r="H31">
        <v>9</v>
      </c>
    </row>
    <row r="32" spans="1:8">
      <c r="A32" t="s">
        <v>60</v>
      </c>
      <c r="B32" s="6">
        <v>45659</v>
      </c>
      <c r="C32" t="s">
        <v>13</v>
      </c>
      <c r="D32" t="s">
        <v>20</v>
      </c>
      <c r="E32" t="s">
        <v>21</v>
      </c>
      <c r="F32">
        <v>590</v>
      </c>
      <c r="G32">
        <v>65.18</v>
      </c>
      <c r="H32">
        <v>7</v>
      </c>
    </row>
    <row r="33" spans="1:8">
      <c r="A33" t="s">
        <v>61</v>
      </c>
      <c r="B33" s="6">
        <v>45828</v>
      </c>
      <c r="C33" t="s">
        <v>9</v>
      </c>
      <c r="D33" t="s">
        <v>20</v>
      </c>
      <c r="E33" t="s">
        <v>33</v>
      </c>
      <c r="F33">
        <v>4798</v>
      </c>
      <c r="G33">
        <v>578.53</v>
      </c>
      <c r="H33">
        <v>5</v>
      </c>
    </row>
    <row r="34" spans="1:8">
      <c r="A34" t="s">
        <v>62</v>
      </c>
      <c r="B34" s="6">
        <v>45722</v>
      </c>
      <c r="C34" t="s">
        <v>13</v>
      </c>
      <c r="D34" t="s">
        <v>16</v>
      </c>
      <c r="E34" t="s">
        <v>49</v>
      </c>
      <c r="F34">
        <v>3872</v>
      </c>
      <c r="G34">
        <v>341.82</v>
      </c>
      <c r="H34">
        <v>2</v>
      </c>
    </row>
    <row r="35" spans="1:8">
      <c r="A35" t="s">
        <v>63</v>
      </c>
      <c r="B35" s="6">
        <v>45756</v>
      </c>
      <c r="C35" t="s">
        <v>13</v>
      </c>
      <c r="D35" t="s">
        <v>25</v>
      </c>
      <c r="E35" t="s">
        <v>30</v>
      </c>
      <c r="F35">
        <v>3885</v>
      </c>
      <c r="G35">
        <v>781.55</v>
      </c>
      <c r="H35">
        <v>1</v>
      </c>
    </row>
    <row r="36" spans="1:8">
      <c r="A36" t="s">
        <v>64</v>
      </c>
      <c r="B36" s="6">
        <v>45757</v>
      </c>
      <c r="C36" t="s">
        <v>13</v>
      </c>
      <c r="D36" t="s">
        <v>16</v>
      </c>
      <c r="E36" t="s">
        <v>17</v>
      </c>
      <c r="F36">
        <v>4801</v>
      </c>
      <c r="G36">
        <v>544.89</v>
      </c>
      <c r="H36">
        <v>4</v>
      </c>
    </row>
    <row r="37" spans="1:8">
      <c r="A37" t="s">
        <v>65</v>
      </c>
      <c r="B37" s="6">
        <v>45818</v>
      </c>
      <c r="C37" t="s">
        <v>9</v>
      </c>
      <c r="D37" t="s">
        <v>10</v>
      </c>
      <c r="E37" t="s">
        <v>23</v>
      </c>
      <c r="F37">
        <v>2862</v>
      </c>
      <c r="G37">
        <v>489.77</v>
      </c>
      <c r="H37">
        <v>6</v>
      </c>
    </row>
    <row r="38" spans="1:8">
      <c r="A38" t="s">
        <v>66</v>
      </c>
      <c r="B38" s="6">
        <v>45724</v>
      </c>
      <c r="C38" t="s">
        <v>9</v>
      </c>
      <c r="D38" t="s">
        <v>20</v>
      </c>
      <c r="E38" t="s">
        <v>21</v>
      </c>
      <c r="F38">
        <v>1427</v>
      </c>
      <c r="G38">
        <v>224.69</v>
      </c>
      <c r="H38">
        <v>6</v>
      </c>
    </row>
    <row r="39" spans="1:8">
      <c r="A39" t="s">
        <v>67</v>
      </c>
      <c r="B39" s="6">
        <v>45671</v>
      </c>
      <c r="C39" t="s">
        <v>15</v>
      </c>
      <c r="D39" t="s">
        <v>25</v>
      </c>
      <c r="E39" t="s">
        <v>28</v>
      </c>
      <c r="F39">
        <v>4281</v>
      </c>
      <c r="G39">
        <v>951.83</v>
      </c>
      <c r="H39">
        <v>9</v>
      </c>
    </row>
    <row r="40" spans="1:8">
      <c r="A40" t="s">
        <v>68</v>
      </c>
      <c r="B40" s="6">
        <v>45809</v>
      </c>
      <c r="C40" t="s">
        <v>19</v>
      </c>
      <c r="D40" t="s">
        <v>20</v>
      </c>
      <c r="E40" t="s">
        <v>33</v>
      </c>
      <c r="F40">
        <v>3987</v>
      </c>
      <c r="G40">
        <v>1043.77</v>
      </c>
      <c r="H40">
        <v>4</v>
      </c>
    </row>
    <row r="41" spans="1:8">
      <c r="A41" t="s">
        <v>69</v>
      </c>
      <c r="B41" s="6">
        <v>45788</v>
      </c>
      <c r="C41" t="s">
        <v>13</v>
      </c>
      <c r="D41" t="s">
        <v>10</v>
      </c>
      <c r="E41" t="s">
        <v>54</v>
      </c>
      <c r="F41">
        <v>4440</v>
      </c>
      <c r="G41">
        <v>390.11</v>
      </c>
      <c r="H41">
        <v>2</v>
      </c>
    </row>
    <row r="42" spans="1:8">
      <c r="A42" t="s">
        <v>70</v>
      </c>
      <c r="B42" s="6">
        <v>45723</v>
      </c>
      <c r="C42" t="s">
        <v>19</v>
      </c>
      <c r="D42" t="s">
        <v>25</v>
      </c>
      <c r="E42" t="s">
        <v>30</v>
      </c>
      <c r="F42">
        <v>3188</v>
      </c>
      <c r="G42">
        <v>479.15</v>
      </c>
      <c r="H42">
        <v>4</v>
      </c>
    </row>
    <row r="43" spans="1:8">
      <c r="A43" t="s">
        <v>71</v>
      </c>
      <c r="B43" s="6">
        <v>45744</v>
      </c>
      <c r="C43" t="s">
        <v>19</v>
      </c>
      <c r="D43" t="s">
        <v>20</v>
      </c>
      <c r="E43" t="s">
        <v>21</v>
      </c>
      <c r="F43">
        <v>2553</v>
      </c>
      <c r="G43">
        <v>543.11</v>
      </c>
      <c r="H43">
        <v>8</v>
      </c>
    </row>
    <row r="44" spans="1:8">
      <c r="A44" t="s">
        <v>72</v>
      </c>
      <c r="B44" s="6">
        <v>45814</v>
      </c>
      <c r="C44" t="s">
        <v>15</v>
      </c>
      <c r="D44" t="s">
        <v>16</v>
      </c>
      <c r="E44" t="s">
        <v>73</v>
      </c>
      <c r="F44">
        <v>2508</v>
      </c>
      <c r="G44">
        <v>716.46</v>
      </c>
      <c r="H44">
        <v>5</v>
      </c>
    </row>
    <row r="45" spans="1:8">
      <c r="A45" t="s">
        <v>74</v>
      </c>
      <c r="B45" s="6">
        <v>45723</v>
      </c>
      <c r="C45" t="s">
        <v>13</v>
      </c>
      <c r="D45" t="s">
        <v>16</v>
      </c>
      <c r="E45" t="s">
        <v>17</v>
      </c>
      <c r="F45">
        <v>2670</v>
      </c>
      <c r="G45">
        <v>295.94</v>
      </c>
      <c r="H45">
        <v>6</v>
      </c>
    </row>
    <row r="46" spans="1:8">
      <c r="A46" t="s">
        <v>75</v>
      </c>
      <c r="B46" s="6">
        <v>45689</v>
      </c>
      <c r="C46" t="s">
        <v>13</v>
      </c>
      <c r="D46" t="s">
        <v>20</v>
      </c>
      <c r="E46" t="s">
        <v>33</v>
      </c>
      <c r="F46">
        <v>3804</v>
      </c>
      <c r="G46">
        <v>516.8</v>
      </c>
      <c r="H46">
        <v>3</v>
      </c>
    </row>
    <row r="47" spans="1:8">
      <c r="A47" t="s">
        <v>76</v>
      </c>
      <c r="B47" s="6">
        <v>45695</v>
      </c>
      <c r="C47" t="s">
        <v>19</v>
      </c>
      <c r="D47" t="s">
        <v>20</v>
      </c>
      <c r="E47" t="s">
        <v>21</v>
      </c>
      <c r="F47">
        <v>4067</v>
      </c>
      <c r="G47">
        <v>411.31</v>
      </c>
      <c r="H47">
        <v>9</v>
      </c>
    </row>
    <row r="48" spans="1:8">
      <c r="A48" t="s">
        <v>77</v>
      </c>
      <c r="B48" s="6">
        <v>45776</v>
      </c>
      <c r="C48" t="s">
        <v>13</v>
      </c>
      <c r="D48" t="s">
        <v>20</v>
      </c>
      <c r="E48" t="s">
        <v>33</v>
      </c>
      <c r="F48">
        <v>3971</v>
      </c>
      <c r="G48">
        <v>760.71</v>
      </c>
      <c r="H48">
        <v>5</v>
      </c>
    </row>
    <row r="49" spans="1:8">
      <c r="A49" t="s">
        <v>78</v>
      </c>
      <c r="B49" s="6">
        <v>45728</v>
      </c>
      <c r="C49" t="s">
        <v>13</v>
      </c>
      <c r="D49" t="s">
        <v>20</v>
      </c>
      <c r="E49" t="s">
        <v>44</v>
      </c>
      <c r="F49">
        <v>3102</v>
      </c>
      <c r="G49">
        <v>876.85</v>
      </c>
      <c r="H49">
        <v>3</v>
      </c>
    </row>
    <row r="50" spans="1:8">
      <c r="A50" t="s">
        <v>79</v>
      </c>
      <c r="B50" s="6">
        <v>45810</v>
      </c>
      <c r="C50" t="s">
        <v>13</v>
      </c>
      <c r="D50" t="s">
        <v>16</v>
      </c>
      <c r="E50" t="s">
        <v>39</v>
      </c>
      <c r="F50">
        <v>1878</v>
      </c>
      <c r="G50">
        <v>188.57</v>
      </c>
      <c r="H50">
        <v>6</v>
      </c>
    </row>
    <row r="51" spans="1:8">
      <c r="A51" t="s">
        <v>80</v>
      </c>
      <c r="B51" s="6">
        <v>45691</v>
      </c>
      <c r="C51" t="s">
        <v>13</v>
      </c>
      <c r="D51" t="s">
        <v>16</v>
      </c>
      <c r="E51" t="s">
        <v>73</v>
      </c>
      <c r="F51">
        <v>613</v>
      </c>
      <c r="G51">
        <v>183.6</v>
      </c>
      <c r="H51">
        <v>1</v>
      </c>
    </row>
    <row r="52" spans="1:8">
      <c r="A52" t="s">
        <v>81</v>
      </c>
      <c r="B52" s="6">
        <v>45751</v>
      </c>
      <c r="C52" t="s">
        <v>19</v>
      </c>
      <c r="D52" t="s">
        <v>20</v>
      </c>
      <c r="E52" t="s">
        <v>46</v>
      </c>
      <c r="F52">
        <v>4612</v>
      </c>
      <c r="G52">
        <v>529.82</v>
      </c>
      <c r="H52">
        <v>4</v>
      </c>
    </row>
    <row r="53" spans="1:8">
      <c r="A53" t="s">
        <v>82</v>
      </c>
      <c r="B53" s="6">
        <v>45831</v>
      </c>
      <c r="C53" t="s">
        <v>15</v>
      </c>
      <c r="D53" t="s">
        <v>25</v>
      </c>
      <c r="E53" t="s">
        <v>30</v>
      </c>
      <c r="F53">
        <v>1883</v>
      </c>
      <c r="G53">
        <v>442.92</v>
      </c>
      <c r="H53">
        <v>4</v>
      </c>
    </row>
    <row r="54" spans="1:8">
      <c r="A54" t="s">
        <v>83</v>
      </c>
      <c r="B54" s="6">
        <v>45736</v>
      </c>
      <c r="C54" t="s">
        <v>9</v>
      </c>
      <c r="D54" t="s">
        <v>25</v>
      </c>
      <c r="E54" t="s">
        <v>84</v>
      </c>
      <c r="F54">
        <v>3623</v>
      </c>
      <c r="G54">
        <v>554.69</v>
      </c>
      <c r="H54">
        <v>1</v>
      </c>
    </row>
    <row r="55" spans="1:8">
      <c r="A55" t="s">
        <v>85</v>
      </c>
      <c r="B55" s="6">
        <v>45767</v>
      </c>
      <c r="C55" t="s">
        <v>9</v>
      </c>
      <c r="D55" t="s">
        <v>25</v>
      </c>
      <c r="E55" t="s">
        <v>84</v>
      </c>
      <c r="F55">
        <v>1474</v>
      </c>
      <c r="G55">
        <v>202.78</v>
      </c>
      <c r="H55">
        <v>2</v>
      </c>
    </row>
    <row r="56" spans="1:8">
      <c r="A56" t="s">
        <v>86</v>
      </c>
      <c r="B56" s="6">
        <v>45785</v>
      </c>
      <c r="C56" t="s">
        <v>15</v>
      </c>
      <c r="D56" t="s">
        <v>20</v>
      </c>
      <c r="E56" t="s">
        <v>44</v>
      </c>
      <c r="F56">
        <v>3982</v>
      </c>
      <c r="G56">
        <v>614.2</v>
      </c>
      <c r="H56">
        <v>9</v>
      </c>
    </row>
    <row r="57" spans="1:8">
      <c r="A57" t="s">
        <v>87</v>
      </c>
      <c r="B57" s="6">
        <v>45805</v>
      </c>
      <c r="C57" t="s">
        <v>15</v>
      </c>
      <c r="D57" t="s">
        <v>10</v>
      </c>
      <c r="E57" t="s">
        <v>11</v>
      </c>
      <c r="F57">
        <v>1254</v>
      </c>
      <c r="G57">
        <v>163.57</v>
      </c>
      <c r="H57">
        <v>3</v>
      </c>
    </row>
    <row r="58" spans="1:8">
      <c r="A58" t="s">
        <v>88</v>
      </c>
      <c r="B58" s="6">
        <v>45694</v>
      </c>
      <c r="C58" t="s">
        <v>13</v>
      </c>
      <c r="D58" t="s">
        <v>20</v>
      </c>
      <c r="E58" t="s">
        <v>21</v>
      </c>
      <c r="F58">
        <v>1656</v>
      </c>
      <c r="G58">
        <v>412.47</v>
      </c>
      <c r="H58">
        <v>1</v>
      </c>
    </row>
    <row r="59" spans="1:8">
      <c r="A59" t="s">
        <v>89</v>
      </c>
      <c r="B59" s="6">
        <v>45670</v>
      </c>
      <c r="C59" t="s">
        <v>15</v>
      </c>
      <c r="D59" t="s">
        <v>10</v>
      </c>
      <c r="E59" t="s">
        <v>54</v>
      </c>
      <c r="F59">
        <v>941</v>
      </c>
      <c r="G59">
        <v>227.44</v>
      </c>
      <c r="H59">
        <v>5</v>
      </c>
    </row>
    <row r="60" spans="1:8">
      <c r="A60" t="s">
        <v>90</v>
      </c>
      <c r="B60" s="6">
        <v>45665</v>
      </c>
      <c r="C60" t="s">
        <v>9</v>
      </c>
      <c r="D60" t="s">
        <v>20</v>
      </c>
      <c r="E60" t="s">
        <v>44</v>
      </c>
      <c r="F60">
        <v>3861</v>
      </c>
      <c r="G60">
        <v>450.41</v>
      </c>
      <c r="H60">
        <v>3</v>
      </c>
    </row>
    <row r="61" spans="1:8">
      <c r="A61" t="s">
        <v>91</v>
      </c>
      <c r="B61" s="6">
        <v>45789</v>
      </c>
      <c r="C61" t="s">
        <v>9</v>
      </c>
      <c r="D61" t="s">
        <v>16</v>
      </c>
      <c r="E61" t="s">
        <v>73</v>
      </c>
      <c r="F61">
        <v>2191</v>
      </c>
      <c r="G61">
        <v>411.19</v>
      </c>
      <c r="H61">
        <v>6</v>
      </c>
    </row>
    <row r="62" spans="1:8">
      <c r="A62" t="s">
        <v>92</v>
      </c>
      <c r="B62" s="6">
        <v>45831</v>
      </c>
      <c r="C62" t="s">
        <v>19</v>
      </c>
      <c r="D62" t="s">
        <v>16</v>
      </c>
      <c r="E62" t="s">
        <v>73</v>
      </c>
      <c r="F62">
        <v>1213</v>
      </c>
      <c r="G62">
        <v>86.52</v>
      </c>
      <c r="H62">
        <v>7</v>
      </c>
    </row>
    <row r="63" spans="1:8">
      <c r="A63" t="s">
        <v>93</v>
      </c>
      <c r="B63" s="6">
        <v>45825</v>
      </c>
      <c r="C63" t="s">
        <v>13</v>
      </c>
      <c r="D63" t="s">
        <v>16</v>
      </c>
      <c r="E63" t="s">
        <v>17</v>
      </c>
      <c r="F63">
        <v>1243</v>
      </c>
      <c r="G63">
        <v>119.66</v>
      </c>
      <c r="H63">
        <v>7</v>
      </c>
    </row>
    <row r="64" spans="1:8">
      <c r="A64" t="s">
        <v>94</v>
      </c>
      <c r="B64" s="6">
        <v>45712</v>
      </c>
      <c r="C64" t="s">
        <v>15</v>
      </c>
      <c r="D64" t="s">
        <v>25</v>
      </c>
      <c r="E64" t="s">
        <v>28</v>
      </c>
      <c r="F64">
        <v>1989</v>
      </c>
      <c r="G64">
        <v>361.05</v>
      </c>
      <c r="H64">
        <v>7</v>
      </c>
    </row>
    <row r="65" spans="1:8">
      <c r="A65" t="s">
        <v>95</v>
      </c>
      <c r="B65" s="6">
        <v>45750</v>
      </c>
      <c r="C65" t="s">
        <v>19</v>
      </c>
      <c r="D65" t="s">
        <v>16</v>
      </c>
      <c r="E65" t="s">
        <v>17</v>
      </c>
      <c r="F65">
        <v>2852</v>
      </c>
      <c r="G65">
        <v>450.02</v>
      </c>
      <c r="H65">
        <v>10</v>
      </c>
    </row>
    <row r="66" spans="1:8">
      <c r="A66" t="s">
        <v>96</v>
      </c>
      <c r="B66" s="6">
        <v>45822</v>
      </c>
      <c r="C66" t="s">
        <v>19</v>
      </c>
      <c r="D66" t="s">
        <v>16</v>
      </c>
      <c r="E66" t="s">
        <v>49</v>
      </c>
      <c r="F66">
        <v>4176</v>
      </c>
      <c r="G66">
        <v>381.51</v>
      </c>
      <c r="H66">
        <v>7</v>
      </c>
    </row>
    <row r="67" spans="1:8">
      <c r="A67" t="s">
        <v>97</v>
      </c>
      <c r="B67" s="6">
        <v>45802</v>
      </c>
      <c r="C67" t="s">
        <v>13</v>
      </c>
      <c r="D67" t="s">
        <v>25</v>
      </c>
      <c r="E67" t="s">
        <v>84</v>
      </c>
      <c r="F67">
        <v>4097</v>
      </c>
      <c r="G67">
        <v>593.37</v>
      </c>
      <c r="H67">
        <v>3</v>
      </c>
    </row>
    <row r="68" spans="1:8">
      <c r="A68" t="s">
        <v>98</v>
      </c>
      <c r="B68" s="6">
        <v>45689</v>
      </c>
      <c r="C68" t="s">
        <v>9</v>
      </c>
      <c r="D68" t="s">
        <v>25</v>
      </c>
      <c r="E68" t="s">
        <v>84</v>
      </c>
      <c r="F68">
        <v>1835</v>
      </c>
      <c r="G68">
        <v>387.1</v>
      </c>
      <c r="H68">
        <v>5</v>
      </c>
    </row>
    <row r="69" spans="1:8">
      <c r="A69" t="s">
        <v>99</v>
      </c>
      <c r="B69" s="6">
        <v>45736</v>
      </c>
      <c r="C69" t="s">
        <v>13</v>
      </c>
      <c r="D69" t="s">
        <v>25</v>
      </c>
      <c r="E69" t="s">
        <v>84</v>
      </c>
      <c r="F69">
        <v>4698</v>
      </c>
      <c r="G69">
        <v>266.36</v>
      </c>
      <c r="H69">
        <v>5</v>
      </c>
    </row>
    <row r="70" spans="1:8">
      <c r="A70" t="s">
        <v>100</v>
      </c>
      <c r="B70" s="6">
        <v>45765</v>
      </c>
      <c r="C70" t="s">
        <v>15</v>
      </c>
      <c r="D70" t="s">
        <v>20</v>
      </c>
      <c r="E70" t="s">
        <v>44</v>
      </c>
      <c r="F70">
        <v>1342</v>
      </c>
      <c r="G70">
        <v>355.14</v>
      </c>
      <c r="H70">
        <v>4</v>
      </c>
    </row>
    <row r="71" spans="1:8">
      <c r="A71" t="s">
        <v>101</v>
      </c>
      <c r="B71" s="6">
        <v>45736</v>
      </c>
      <c r="C71" t="s">
        <v>9</v>
      </c>
      <c r="D71" t="s">
        <v>10</v>
      </c>
      <c r="E71" t="s">
        <v>23</v>
      </c>
      <c r="F71">
        <v>2612</v>
      </c>
      <c r="G71">
        <v>471.48</v>
      </c>
      <c r="H71">
        <v>6</v>
      </c>
    </row>
    <row r="72" spans="1:8">
      <c r="A72" t="s">
        <v>102</v>
      </c>
      <c r="B72" s="6">
        <v>45764</v>
      </c>
      <c r="C72" t="s">
        <v>13</v>
      </c>
      <c r="D72" t="s">
        <v>25</v>
      </c>
      <c r="E72" t="s">
        <v>28</v>
      </c>
      <c r="F72">
        <v>963</v>
      </c>
      <c r="G72">
        <v>249.38</v>
      </c>
      <c r="H72">
        <v>9</v>
      </c>
    </row>
    <row r="73" spans="1:8">
      <c r="A73" t="s">
        <v>103</v>
      </c>
      <c r="B73" s="6">
        <v>45730</v>
      </c>
      <c r="C73" t="s">
        <v>19</v>
      </c>
      <c r="D73" t="s">
        <v>16</v>
      </c>
      <c r="E73" t="s">
        <v>49</v>
      </c>
      <c r="F73">
        <v>1054</v>
      </c>
      <c r="G73">
        <v>226.17</v>
      </c>
      <c r="H73">
        <v>10</v>
      </c>
    </row>
    <row r="74" spans="1:8">
      <c r="A74" t="s">
        <v>104</v>
      </c>
      <c r="B74" s="6">
        <v>45770</v>
      </c>
      <c r="C74" t="s">
        <v>19</v>
      </c>
      <c r="D74" t="s">
        <v>25</v>
      </c>
      <c r="E74" t="s">
        <v>84</v>
      </c>
      <c r="F74">
        <v>2905</v>
      </c>
      <c r="G74">
        <v>349.44</v>
      </c>
      <c r="H74">
        <v>4</v>
      </c>
    </row>
    <row r="75" spans="1:8">
      <c r="A75" t="s">
        <v>105</v>
      </c>
      <c r="B75" s="6">
        <v>45740</v>
      </c>
      <c r="C75" t="s">
        <v>15</v>
      </c>
      <c r="D75" t="s">
        <v>20</v>
      </c>
      <c r="E75" t="s">
        <v>44</v>
      </c>
      <c r="F75">
        <v>1937</v>
      </c>
      <c r="G75">
        <v>481.47</v>
      </c>
      <c r="H75">
        <v>9</v>
      </c>
    </row>
    <row r="76" spans="1:8">
      <c r="A76" t="s">
        <v>106</v>
      </c>
      <c r="B76" s="6">
        <v>45774</v>
      </c>
      <c r="C76" t="s">
        <v>9</v>
      </c>
      <c r="D76" t="s">
        <v>10</v>
      </c>
      <c r="E76" t="s">
        <v>57</v>
      </c>
      <c r="F76">
        <v>2244</v>
      </c>
      <c r="G76">
        <v>620.29</v>
      </c>
      <c r="H76">
        <v>9</v>
      </c>
    </row>
    <row r="77" spans="1:8">
      <c r="A77" t="s">
        <v>107</v>
      </c>
      <c r="B77" s="6">
        <v>45676</v>
      </c>
      <c r="C77" t="s">
        <v>9</v>
      </c>
      <c r="D77" t="s">
        <v>20</v>
      </c>
      <c r="E77" t="s">
        <v>33</v>
      </c>
      <c r="F77">
        <v>981</v>
      </c>
      <c r="G77">
        <v>189.88</v>
      </c>
      <c r="H77">
        <v>10</v>
      </c>
    </row>
    <row r="78" spans="1:8">
      <c r="A78" t="s">
        <v>108</v>
      </c>
      <c r="B78" s="6">
        <v>45766</v>
      </c>
      <c r="C78" t="s">
        <v>19</v>
      </c>
      <c r="D78" t="s">
        <v>10</v>
      </c>
      <c r="E78" t="s">
        <v>54</v>
      </c>
      <c r="F78">
        <v>1837</v>
      </c>
      <c r="G78">
        <v>256.62</v>
      </c>
      <c r="H78">
        <v>5</v>
      </c>
    </row>
    <row r="79" spans="1:8">
      <c r="A79" t="s">
        <v>109</v>
      </c>
      <c r="B79" s="6">
        <v>45769</v>
      </c>
      <c r="C79" t="s">
        <v>19</v>
      </c>
      <c r="D79" t="s">
        <v>16</v>
      </c>
      <c r="E79" t="s">
        <v>73</v>
      </c>
      <c r="F79">
        <v>3083</v>
      </c>
      <c r="G79">
        <v>437.08</v>
      </c>
      <c r="H79">
        <v>1</v>
      </c>
    </row>
    <row r="80" spans="1:8">
      <c r="A80" t="s">
        <v>110</v>
      </c>
      <c r="B80" s="6">
        <v>45806</v>
      </c>
      <c r="C80" t="s">
        <v>13</v>
      </c>
      <c r="D80" t="s">
        <v>20</v>
      </c>
      <c r="E80" t="s">
        <v>46</v>
      </c>
      <c r="F80">
        <v>1603</v>
      </c>
      <c r="G80">
        <v>318.21</v>
      </c>
      <c r="H80">
        <v>5</v>
      </c>
    </row>
    <row r="81" spans="1:8">
      <c r="A81" t="s">
        <v>111</v>
      </c>
      <c r="B81" s="6">
        <v>45733</v>
      </c>
      <c r="C81" t="s">
        <v>15</v>
      </c>
      <c r="D81" t="s">
        <v>10</v>
      </c>
      <c r="E81" t="s">
        <v>23</v>
      </c>
      <c r="F81">
        <v>1836</v>
      </c>
      <c r="G81">
        <v>516.66</v>
      </c>
      <c r="H81">
        <v>7</v>
      </c>
    </row>
    <row r="82" spans="1:8">
      <c r="A82" t="s">
        <v>112</v>
      </c>
      <c r="B82" s="6">
        <v>45733</v>
      </c>
      <c r="C82" t="s">
        <v>9</v>
      </c>
      <c r="D82" t="s">
        <v>25</v>
      </c>
      <c r="E82" t="s">
        <v>30</v>
      </c>
      <c r="F82">
        <v>3093</v>
      </c>
      <c r="G82">
        <v>237.41</v>
      </c>
      <c r="H82">
        <v>7</v>
      </c>
    </row>
    <row r="83" spans="1:8">
      <c r="A83" t="s">
        <v>113</v>
      </c>
      <c r="B83" s="6">
        <v>45685</v>
      </c>
      <c r="C83" t="s">
        <v>13</v>
      </c>
      <c r="D83" t="s">
        <v>10</v>
      </c>
      <c r="E83" t="s">
        <v>54</v>
      </c>
      <c r="F83">
        <v>4727</v>
      </c>
      <c r="G83">
        <v>1340.56</v>
      </c>
      <c r="H83">
        <v>10</v>
      </c>
    </row>
    <row r="84" spans="1:8">
      <c r="A84" t="s">
        <v>114</v>
      </c>
      <c r="B84" s="6">
        <v>45697</v>
      </c>
      <c r="C84" t="s">
        <v>19</v>
      </c>
      <c r="D84" t="s">
        <v>20</v>
      </c>
      <c r="E84" t="s">
        <v>44</v>
      </c>
      <c r="F84">
        <v>4110</v>
      </c>
      <c r="G84">
        <v>1138.56</v>
      </c>
      <c r="H84">
        <v>2</v>
      </c>
    </row>
    <row r="85" spans="1:8">
      <c r="A85" t="s">
        <v>115</v>
      </c>
      <c r="B85" s="6">
        <v>45678</v>
      </c>
      <c r="C85" t="s">
        <v>9</v>
      </c>
      <c r="D85" t="s">
        <v>16</v>
      </c>
      <c r="E85" t="s">
        <v>17</v>
      </c>
      <c r="F85">
        <v>1286</v>
      </c>
      <c r="G85">
        <v>222.3</v>
      </c>
      <c r="H85">
        <v>6</v>
      </c>
    </row>
    <row r="86" spans="1:8">
      <c r="A86" t="s">
        <v>116</v>
      </c>
      <c r="B86" s="6">
        <v>45744</v>
      </c>
      <c r="C86" t="s">
        <v>15</v>
      </c>
      <c r="D86" t="s">
        <v>25</v>
      </c>
      <c r="E86" t="s">
        <v>26</v>
      </c>
      <c r="F86">
        <v>3175</v>
      </c>
      <c r="G86">
        <v>811</v>
      </c>
      <c r="H86">
        <v>9</v>
      </c>
    </row>
    <row r="87" spans="1:8">
      <c r="A87" t="s">
        <v>117</v>
      </c>
      <c r="B87" s="6">
        <v>45704</v>
      </c>
      <c r="C87" t="s">
        <v>9</v>
      </c>
      <c r="D87" t="s">
        <v>25</v>
      </c>
      <c r="E87" t="s">
        <v>26</v>
      </c>
      <c r="F87">
        <v>1010</v>
      </c>
      <c r="G87">
        <v>95.64</v>
      </c>
      <c r="H87">
        <v>8</v>
      </c>
    </row>
    <row r="88" spans="1:8">
      <c r="A88" t="s">
        <v>118</v>
      </c>
      <c r="B88" s="6">
        <v>45744</v>
      </c>
      <c r="C88" t="s">
        <v>15</v>
      </c>
      <c r="D88" t="s">
        <v>25</v>
      </c>
      <c r="E88" t="s">
        <v>84</v>
      </c>
      <c r="F88">
        <v>3791</v>
      </c>
      <c r="G88">
        <v>229.66</v>
      </c>
      <c r="H88">
        <v>6</v>
      </c>
    </row>
    <row r="89" spans="1:8">
      <c r="A89" t="s">
        <v>119</v>
      </c>
      <c r="B89" s="6">
        <v>45712</v>
      </c>
      <c r="C89" t="s">
        <v>9</v>
      </c>
      <c r="D89" t="s">
        <v>25</v>
      </c>
      <c r="E89" t="s">
        <v>30</v>
      </c>
      <c r="F89">
        <v>2183</v>
      </c>
      <c r="G89">
        <v>246.12</v>
      </c>
      <c r="H89">
        <v>9</v>
      </c>
    </row>
    <row r="90" spans="1:8">
      <c r="A90" t="s">
        <v>120</v>
      </c>
      <c r="B90" s="6">
        <v>45737</v>
      </c>
      <c r="C90" t="s">
        <v>19</v>
      </c>
      <c r="D90" t="s">
        <v>16</v>
      </c>
      <c r="E90" t="s">
        <v>73</v>
      </c>
      <c r="F90">
        <v>4381</v>
      </c>
      <c r="G90">
        <v>503.07</v>
      </c>
      <c r="H90">
        <v>1</v>
      </c>
    </row>
    <row r="91" spans="1:8">
      <c r="A91" t="s">
        <v>121</v>
      </c>
      <c r="B91" s="6">
        <v>45704</v>
      </c>
      <c r="C91" t="s">
        <v>15</v>
      </c>
      <c r="D91" t="s">
        <v>10</v>
      </c>
      <c r="E91" t="s">
        <v>23</v>
      </c>
      <c r="F91">
        <v>4589</v>
      </c>
      <c r="G91">
        <v>1055.48</v>
      </c>
      <c r="H91">
        <v>4</v>
      </c>
    </row>
    <row r="92" spans="1:8">
      <c r="A92" t="s">
        <v>122</v>
      </c>
      <c r="B92" s="6">
        <v>45695</v>
      </c>
      <c r="C92" t="s">
        <v>9</v>
      </c>
      <c r="D92" t="s">
        <v>25</v>
      </c>
      <c r="E92" t="s">
        <v>26</v>
      </c>
      <c r="F92">
        <v>1573</v>
      </c>
      <c r="G92">
        <v>308.6</v>
      </c>
      <c r="H92">
        <v>4</v>
      </c>
    </row>
    <row r="93" spans="1:8">
      <c r="A93" t="s">
        <v>123</v>
      </c>
      <c r="B93" s="6">
        <v>45800</v>
      </c>
      <c r="C93" t="s">
        <v>15</v>
      </c>
      <c r="D93" t="s">
        <v>16</v>
      </c>
      <c r="E93" t="s">
        <v>39</v>
      </c>
      <c r="F93">
        <v>4427</v>
      </c>
      <c r="G93">
        <v>897.81</v>
      </c>
      <c r="H93">
        <v>8</v>
      </c>
    </row>
    <row r="94" spans="1:8">
      <c r="A94" t="s">
        <v>124</v>
      </c>
      <c r="B94" s="6">
        <v>45758</v>
      </c>
      <c r="C94" t="s">
        <v>15</v>
      </c>
      <c r="D94" t="s">
        <v>25</v>
      </c>
      <c r="E94" t="s">
        <v>30</v>
      </c>
      <c r="F94">
        <v>2198</v>
      </c>
      <c r="G94">
        <v>143.35</v>
      </c>
      <c r="H94">
        <v>7</v>
      </c>
    </row>
    <row r="95" spans="1:8">
      <c r="A95" t="s">
        <v>125</v>
      </c>
      <c r="B95" s="6">
        <v>45700</v>
      </c>
      <c r="C95" t="s">
        <v>9</v>
      </c>
      <c r="D95" t="s">
        <v>20</v>
      </c>
      <c r="E95" t="s">
        <v>44</v>
      </c>
      <c r="F95">
        <v>3370</v>
      </c>
      <c r="G95">
        <v>233.91</v>
      </c>
      <c r="H95">
        <v>5</v>
      </c>
    </row>
    <row r="96" spans="1:8">
      <c r="A96" t="s">
        <v>126</v>
      </c>
      <c r="B96" s="6">
        <v>45758</v>
      </c>
      <c r="C96" t="s">
        <v>15</v>
      </c>
      <c r="D96" t="s">
        <v>20</v>
      </c>
      <c r="E96" t="s">
        <v>33</v>
      </c>
      <c r="F96">
        <v>4377</v>
      </c>
      <c r="G96">
        <v>425.32</v>
      </c>
      <c r="H96">
        <v>10</v>
      </c>
    </row>
    <row r="97" spans="1:8">
      <c r="A97" t="s">
        <v>127</v>
      </c>
      <c r="B97" s="6">
        <v>45803</v>
      </c>
      <c r="C97" t="s">
        <v>13</v>
      </c>
      <c r="D97" t="s">
        <v>16</v>
      </c>
      <c r="E97" t="s">
        <v>17</v>
      </c>
      <c r="F97">
        <v>2894</v>
      </c>
      <c r="G97">
        <v>610.37</v>
      </c>
      <c r="H97">
        <v>4</v>
      </c>
    </row>
    <row r="98" spans="1:8">
      <c r="A98" t="s">
        <v>128</v>
      </c>
      <c r="B98" s="6">
        <v>45771</v>
      </c>
      <c r="C98" t="s">
        <v>15</v>
      </c>
      <c r="D98" t="s">
        <v>10</v>
      </c>
      <c r="E98" t="s">
        <v>54</v>
      </c>
      <c r="F98">
        <v>3556</v>
      </c>
      <c r="G98">
        <v>531.32</v>
      </c>
      <c r="H98">
        <v>4</v>
      </c>
    </row>
    <row r="99" spans="1:8">
      <c r="A99" t="s">
        <v>129</v>
      </c>
      <c r="B99" s="6">
        <v>45805</v>
      </c>
      <c r="C99" t="s">
        <v>13</v>
      </c>
      <c r="D99" t="s">
        <v>10</v>
      </c>
      <c r="E99" t="s">
        <v>11</v>
      </c>
      <c r="F99">
        <v>2178</v>
      </c>
      <c r="G99">
        <v>565.36</v>
      </c>
      <c r="H99">
        <v>7</v>
      </c>
    </row>
    <row r="100" spans="1:8">
      <c r="A100" t="s">
        <v>130</v>
      </c>
      <c r="B100" s="6">
        <v>45671</v>
      </c>
      <c r="C100" t="s">
        <v>19</v>
      </c>
      <c r="D100" t="s">
        <v>10</v>
      </c>
      <c r="E100" t="s">
        <v>54</v>
      </c>
      <c r="F100">
        <v>2242</v>
      </c>
      <c r="G100">
        <v>643.08</v>
      </c>
      <c r="H100">
        <v>8</v>
      </c>
    </row>
    <row r="101" spans="1:8">
      <c r="A101" t="s">
        <v>131</v>
      </c>
      <c r="B101" s="6">
        <v>45794</v>
      </c>
      <c r="C101" t="s">
        <v>19</v>
      </c>
      <c r="D101" t="s">
        <v>25</v>
      </c>
      <c r="E101" t="s">
        <v>26</v>
      </c>
      <c r="F101">
        <v>3808</v>
      </c>
      <c r="G101">
        <v>925.58</v>
      </c>
      <c r="H101">
        <v>7</v>
      </c>
    </row>
  </sheetData>
  <conditionalFormatting sqref="F2:F101">
    <cfRule type="colorScale" priority="1">
      <colorScale>
        <cfvo type="min"/>
        <cfvo type="percentile" val="50"/>
        <cfvo type="max"/>
        <color rgb="FFFFAAAA"/>
        <color rgb="FFFFFF99"/>
        <color rgb="FFAAFFAA"/>
      </colorScale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B2" sqref="B2"/>
    </sheetView>
  </sheetViews>
  <sheetFormatPr defaultColWidth="9" defaultRowHeight="15" outlineLevelCol="5"/>
  <cols>
    <col min="1" max="6" width="24" customWidth="1"/>
  </cols>
  <sheetData>
    <row r="1" spans="1:6">
      <c r="A1" s="4" t="s">
        <v>0</v>
      </c>
      <c r="B1" s="4" t="s">
        <v>5</v>
      </c>
      <c r="C1" s="4" t="s">
        <v>6</v>
      </c>
      <c r="D1" s="4" t="s">
        <v>132</v>
      </c>
      <c r="E1" s="4" t="s">
        <v>133</v>
      </c>
      <c r="F1" s="4" t="s">
        <v>134</v>
      </c>
    </row>
    <row r="2" spans="1:6">
      <c r="A2" t="str">
        <f>data!A2</f>
        <v>ORD001</v>
      </c>
      <c r="B2">
        <f>data!F2</f>
        <v>2547</v>
      </c>
      <c r="C2">
        <f>data!G2</f>
        <v>689.39</v>
      </c>
      <c r="D2" t="str">
        <f t="shared" ref="D2:D15" si="0">IF(B2&gt;3000,"High Sales","Low Sales")</f>
        <v>Low Sales</v>
      </c>
      <c r="E2" t="str">
        <f>VLOOKUP(A2,data!A:H,5,FALSE)</f>
        <v>TV</v>
      </c>
      <c r="F2" t="str">
        <f>INDEX(data!E:E,MATCH(A2,data!A:A,0))</f>
        <v>TV</v>
      </c>
    </row>
    <row r="3" spans="1:6">
      <c r="A3" t="str">
        <f>data!A3</f>
        <v>ORD002</v>
      </c>
      <c r="B3">
        <f>data!F3</f>
        <v>4103</v>
      </c>
      <c r="C3">
        <f>data!G3</f>
        <v>276.23</v>
      </c>
      <c r="D3" t="str">
        <f t="shared" si="0"/>
        <v>High Sales</v>
      </c>
      <c r="E3" t="str">
        <f>VLOOKUP(A3,data!A:H,5,FALSE)</f>
        <v>TV</v>
      </c>
      <c r="F3" t="str">
        <f>INDEX(data!E:E,MATCH(A3,data!A:A,0))</f>
        <v>TV</v>
      </c>
    </row>
    <row r="4" spans="1:6">
      <c r="A4" t="str">
        <f>data!A4</f>
        <v>ORD003</v>
      </c>
      <c r="B4">
        <f>data!F4</f>
        <v>2049</v>
      </c>
      <c r="C4">
        <f>data!G4</f>
        <v>186.66</v>
      </c>
      <c r="D4" t="str">
        <f t="shared" si="0"/>
        <v>Low Sales</v>
      </c>
      <c r="E4" t="str">
        <f>VLOOKUP(A4,data!A:H,5,FALSE)</f>
        <v>Rice</v>
      </c>
      <c r="F4" t="str">
        <f>INDEX(data!E:E,MATCH(A4,data!A:A,0))</f>
        <v>Rice</v>
      </c>
    </row>
    <row r="5" spans="1:6">
      <c r="A5" t="str">
        <f>data!A5</f>
        <v>ORD004</v>
      </c>
      <c r="B5">
        <f>data!F5</f>
        <v>2144</v>
      </c>
      <c r="C5">
        <f>data!G5</f>
        <v>116.59</v>
      </c>
      <c r="D5" t="str">
        <f t="shared" si="0"/>
        <v>Low Sales</v>
      </c>
      <c r="E5" t="str">
        <f>VLOOKUP(A5,data!A:H,5,FALSE)</f>
        <v>Shoes</v>
      </c>
      <c r="F5" t="str">
        <f>INDEX(data!E:E,MATCH(A5,data!A:A,0))</f>
        <v>Shoes</v>
      </c>
    </row>
    <row r="6" spans="1:6">
      <c r="A6" t="str">
        <f>data!A6</f>
        <v>ORD005</v>
      </c>
      <c r="B6">
        <f>data!F6</f>
        <v>4799</v>
      </c>
      <c r="C6">
        <f>data!G6</f>
        <v>1162.47</v>
      </c>
      <c r="D6" t="str">
        <f t="shared" si="0"/>
        <v>High Sales</v>
      </c>
      <c r="E6" t="str">
        <f>VLOOKUP(A6,data!A:H,5,FALSE)</f>
        <v>Laptop</v>
      </c>
      <c r="F6" t="str">
        <f>INDEX(data!E:E,MATCH(A6,data!A:A,0))</f>
        <v>Laptop</v>
      </c>
    </row>
    <row r="7" spans="1:6">
      <c r="A7" t="str">
        <f>data!A7</f>
        <v>ORD006</v>
      </c>
      <c r="B7">
        <f>data!F7</f>
        <v>4883</v>
      </c>
      <c r="C7">
        <f>data!G7</f>
        <v>540.39</v>
      </c>
      <c r="D7" t="str">
        <f t="shared" si="0"/>
        <v>High Sales</v>
      </c>
      <c r="E7" t="str">
        <f>VLOOKUP(A7,data!A:H,5,FALSE)</f>
        <v>Chair</v>
      </c>
      <c r="F7" t="str">
        <f>INDEX(data!E:E,MATCH(A7,data!A:A,0))</f>
        <v>Chair</v>
      </c>
    </row>
    <row r="8" spans="1:6">
      <c r="A8" t="str">
        <f>data!A8</f>
        <v>ORD007</v>
      </c>
      <c r="B8">
        <f>data!F8</f>
        <v>2189</v>
      </c>
      <c r="C8">
        <f>data!G8</f>
        <v>635.1</v>
      </c>
      <c r="D8" t="str">
        <f t="shared" si="0"/>
        <v>Low Sales</v>
      </c>
      <c r="E8" t="str">
        <f>VLOOKUP(A8,data!A:H,5,FALSE)</f>
        <v>Sofa</v>
      </c>
      <c r="F8" t="str">
        <f>INDEX(data!E:E,MATCH(A8,data!A:A,0))</f>
        <v>Sofa</v>
      </c>
    </row>
    <row r="9" spans="1:6">
      <c r="A9" t="str">
        <f>data!A9</f>
        <v>ORD008</v>
      </c>
      <c r="B9">
        <f>data!F9</f>
        <v>515</v>
      </c>
      <c r="C9">
        <f>data!G9</f>
        <v>71.65</v>
      </c>
      <c r="D9" t="str">
        <f t="shared" si="0"/>
        <v>Low Sales</v>
      </c>
      <c r="E9" t="str">
        <f>VLOOKUP(A9,data!A:H,5,FALSE)</f>
        <v>Table</v>
      </c>
      <c r="F9" t="str">
        <f>INDEX(data!E:E,MATCH(A9,data!A:A,0))</f>
        <v>Table</v>
      </c>
    </row>
    <row r="10" spans="1:6">
      <c r="A10" t="str">
        <f>data!A10</f>
        <v>ORD009</v>
      </c>
      <c r="B10">
        <f>data!F10</f>
        <v>1740</v>
      </c>
      <c r="C10">
        <f>data!G10</f>
        <v>129.46</v>
      </c>
      <c r="D10" t="str">
        <f t="shared" si="0"/>
        <v>Low Sales</v>
      </c>
      <c r="E10" t="str">
        <f>VLOOKUP(A10,data!A:H,5,FALSE)</f>
        <v>Rice</v>
      </c>
      <c r="F10" t="str">
        <f>INDEX(data!E:E,MATCH(A10,data!A:A,0))</f>
        <v>Rice</v>
      </c>
    </row>
    <row r="11" spans="1:6">
      <c r="A11" t="str">
        <f>data!A11</f>
        <v>ORD010</v>
      </c>
      <c r="B11">
        <f>data!F11</f>
        <v>3098</v>
      </c>
      <c r="C11">
        <f>data!G11</f>
        <v>283.86</v>
      </c>
      <c r="D11" t="str">
        <f t="shared" si="0"/>
        <v>High Sales</v>
      </c>
      <c r="E11" t="str">
        <f>VLOOKUP(A11,data!A:H,5,FALSE)</f>
        <v>Jeans</v>
      </c>
      <c r="F11" t="str">
        <f>INDEX(data!E:E,MATCH(A11,data!A:A,0))</f>
        <v>Jeans</v>
      </c>
    </row>
    <row r="12" spans="1:6">
      <c r="A12" t="str">
        <f>data!A12</f>
        <v>ORD011</v>
      </c>
      <c r="B12">
        <f>data!F12</f>
        <v>4548</v>
      </c>
      <c r="C12">
        <f>data!G12</f>
        <v>948.98</v>
      </c>
      <c r="D12" t="str">
        <f t="shared" si="0"/>
        <v>High Sales</v>
      </c>
      <c r="E12" t="str">
        <f>VLOOKUP(A12,data!A:H,5,FALSE)</f>
        <v>Rice</v>
      </c>
      <c r="F12" t="str">
        <f>INDEX(data!E:E,MATCH(A12,data!A:A,0))</f>
        <v>Rice</v>
      </c>
    </row>
    <row r="13" spans="1:6">
      <c r="A13" t="str">
        <f>data!A13</f>
        <v>ORD012</v>
      </c>
      <c r="B13">
        <f>data!F13</f>
        <v>2276</v>
      </c>
      <c r="C13">
        <f>data!G13</f>
        <v>539.81</v>
      </c>
      <c r="D13" t="str">
        <f t="shared" si="0"/>
        <v>Low Sales</v>
      </c>
      <c r="E13" t="str">
        <f>VLOOKUP(A13,data!A:H,5,FALSE)</f>
        <v>Sofa</v>
      </c>
      <c r="F13" t="str">
        <f>INDEX(data!E:E,MATCH(A13,data!A:A,0))</f>
        <v>Sofa</v>
      </c>
    </row>
    <row r="14" spans="1:6">
      <c r="A14" t="str">
        <f>data!A14</f>
        <v>ORD013</v>
      </c>
      <c r="B14">
        <f>data!F14</f>
        <v>3849</v>
      </c>
      <c r="C14">
        <f>data!G14</f>
        <v>374.31</v>
      </c>
      <c r="D14" t="str">
        <f t="shared" si="0"/>
        <v>High Sales</v>
      </c>
      <c r="E14" t="str">
        <f>VLOOKUP(A14,data!A:H,5,FALSE)</f>
        <v>Sofa</v>
      </c>
      <c r="F14" t="str">
        <f>INDEX(data!E:E,MATCH(A14,data!A:A,0))</f>
        <v>Sofa</v>
      </c>
    </row>
    <row r="15" spans="1:6">
      <c r="A15" t="str">
        <f>data!A15</f>
        <v>ORD014</v>
      </c>
      <c r="B15">
        <f>data!F15</f>
        <v>1587</v>
      </c>
      <c r="C15">
        <f>data!G15</f>
        <v>227.63</v>
      </c>
      <c r="D15" t="str">
        <f t="shared" si="0"/>
        <v>Low Sales</v>
      </c>
      <c r="E15" t="str">
        <f>VLOOKUP(A15,data!A:H,5,FALSE)</f>
        <v>Laptop</v>
      </c>
      <c r="F15" t="str">
        <f>INDEX(data!E:E,MATCH(A15,data!A:A,0))</f>
        <v>Laptop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K19" sqref="K19"/>
    </sheetView>
  </sheetViews>
  <sheetFormatPr defaultColWidth="9" defaultRowHeight="15" outlineLevelCol="1"/>
  <cols>
    <col min="1" max="7" width="22" customWidth="1"/>
  </cols>
  <sheetData>
    <row r="1" spans="1:2">
      <c r="A1" s="1" t="s">
        <v>135</v>
      </c>
      <c r="B1" s="2" t="s">
        <v>136</v>
      </c>
    </row>
    <row r="2" spans="1:2">
      <c r="A2" s="3" t="s">
        <v>137</v>
      </c>
      <c r="B2">
        <f>SUM(data!G2:G101)</f>
        <v>47168.42</v>
      </c>
    </row>
    <row r="3" spans="1:2">
      <c r="A3" s="3" t="s">
        <v>138</v>
      </c>
      <c r="B3">
        <f>SUM(data!H2:H101)</f>
        <v>547</v>
      </c>
    </row>
    <row r="5" spans="1:2">
      <c r="A5" s="4" t="s">
        <v>2</v>
      </c>
      <c r="B5" s="4" t="s">
        <v>5</v>
      </c>
    </row>
    <row r="6" spans="1:2">
      <c r="A6" t="s">
        <v>9</v>
      </c>
      <c r="B6">
        <f>SUMIF(data!C:C,A6,data!F:F)</f>
        <v>70809</v>
      </c>
    </row>
    <row r="7" spans="1:2">
      <c r="A7" t="s">
        <v>19</v>
      </c>
      <c r="B7">
        <f>SUMIF(data!C:C,A7,data!F:F)</f>
        <v>70736</v>
      </c>
    </row>
    <row r="8" spans="1:2">
      <c r="A8" t="s">
        <v>15</v>
      </c>
      <c r="B8">
        <f>SUMIF(data!C:C,A8,data!F:F)</f>
        <v>65350</v>
      </c>
    </row>
    <row r="9" spans="1:2">
      <c r="A9" t="s">
        <v>13</v>
      </c>
      <c r="B9">
        <f>SUMIF(data!C:C,A9,data!F:F)</f>
        <v>74566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formula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R49</cp:lastModifiedBy>
  <dcterms:created xsi:type="dcterms:W3CDTF">2026-05-18T06:02:00Z</dcterms:created>
  <dcterms:modified xsi:type="dcterms:W3CDTF">2026-05-18T06:24:48Z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BECCE22653F34063825026875AC0CF3C_12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